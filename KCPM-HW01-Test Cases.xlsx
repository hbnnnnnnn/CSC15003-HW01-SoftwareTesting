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Test Summary Report" sheetId="2" r:id="rId5"/>
    <sheet state="visible" name="Checklist" sheetId="3" r:id="rId6"/>
  </sheets>
  <definedNames/>
  <calcPr/>
  <extLst>
    <ext uri="GoogleSheetsCustomDataVersion2">
      <go:sheetsCustomData xmlns:go="http://customooxmlschemas.google.com/" r:id="rId7" roundtripDataChecksum="zA/R/t9vp2bncu5mHB5ueIyXZf9g4PMBm5H0CHs1G6c="/>
    </ext>
  </extLst>
</workbook>
</file>

<file path=xl/sharedStrings.xml><?xml version="1.0" encoding="utf-8"?>
<sst xmlns="http://schemas.openxmlformats.org/spreadsheetml/2006/main" count="374" uniqueCount="201">
  <si>
    <t>Test Execution 1 (Build 1)</t>
  </si>
  <si>
    <t>No.</t>
  </si>
  <si>
    <t>Test Case ID</t>
  </si>
  <si>
    <t>Test Type</t>
  </si>
  <si>
    <t>Requirement Name</t>
  </si>
  <si>
    <t>Build/Release</t>
  </si>
  <si>
    <t>Test case name/Objective</t>
  </si>
  <si>
    <t>Precondition</t>
  </si>
  <si>
    <t>Test steps</t>
  </si>
  <si>
    <t>Test Data</t>
  </si>
  <si>
    <t>Expected Result</t>
  </si>
  <si>
    <t>Created By</t>
  </si>
  <si>
    <t>AI Generated</t>
  </si>
  <si>
    <t>Actual Result</t>
  </si>
  <si>
    <t>Status</t>
  </si>
  <si>
    <t>Bug ID</t>
  </si>
  <si>
    <t>Tester</t>
  </si>
  <si>
    <t>Tested Date</t>
  </si>
  <si>
    <t>Remark</t>
  </si>
  <si>
    <t>1</t>
  </si>
  <si>
    <t>FAN-TC001</t>
  </si>
  <si>
    <t>Functional</t>
  </si>
  <si>
    <t>Requirement 3 - Physical product testing (Mitsubishi LV16-RM pedestal fan)</t>
  </si>
  <si>
    <t>Build 1</t>
  </si>
  <si>
    <t>Verify power-on functionality</t>
  </si>
  <si>
    <t>Fan is assembled, plugged into power, and placed on a stable floor surface.</t>
  </si>
  <si>
    <t>1. Ensure the fan is plugged in.
2. Press the Power button.
3. Observe the fan head and blades.</t>
  </si>
  <si>
    <t>Power button</t>
  </si>
  <si>
    <t>The fan powers on immediately and the blades start rotating normally.</t>
  </si>
  <si>
    <t>23127300</t>
  </si>
  <si>
    <t>Yes</t>
  </si>
  <si>
    <t>Pending manual execution and video recording by student.</t>
  </si>
  <si>
    <t>Passed</t>
  </si>
  <si>
    <t/>
  </si>
  <si>
    <t>2026/06/07</t>
  </si>
  <si>
    <t>Basic startup case for Mitsubishi LV16-RM.</t>
  </si>
  <si>
    <t>2</t>
  </si>
  <si>
    <t>FAN-TC002</t>
  </si>
  <si>
    <t>Verify power-off functionality</t>
  </si>
  <si>
    <t>Fan is powered on and running at any speed.</t>
  </si>
  <si>
    <t>1. Turn the fan on.
2. Press the Power button again.
3. Observe whether blade rotation stops fully.</t>
  </si>
  <si>
    <t>The fan stops rotating completely after power-off is pressed.</t>
  </si>
  <si>
    <t>Complements TC001.</t>
  </si>
  <si>
    <t>3</t>
  </si>
  <si>
    <t>FAN-TC003</t>
  </si>
  <si>
    <t>Verify all three speed levels</t>
  </si>
  <si>
    <t>Fan is powered on and operating normally.</t>
  </si>
  <si>
    <t>1. Turn the fan on.
2. Select Speed 1 and observe airflow.
3. Select Speed 2 and observe airflow.
4. Select Speed 3 and observe airflow.</t>
  </si>
  <si>
    <t>Speed 1, Speed 2, Speed 3</t>
  </si>
  <si>
    <t>The fan supports all three speed levels and airflow increases progressively from level 1 to level 3.</t>
  </si>
  <si>
    <t>Merged from the original separate speed-level cases.</t>
  </si>
  <si>
    <t>4</t>
  </si>
  <si>
    <t>FAN-TC004</t>
  </si>
  <si>
    <t>Verify speed switching while stationary</t>
  </si>
  <si>
    <t>Fan is powered on.</t>
  </si>
  <si>
    <t>1. Turn the fan on.
2. Switch sequentially between Speed 1, Speed 2, and Speed 3.
3. Repeat the transition back to Speed 1.</t>
  </si>
  <si>
    <t>Speed button/selector</t>
  </si>
  <si>
    <t>The fan switches speeds correctly without stopping unexpectedly or making abnormal noise.</t>
  </si>
  <si>
    <t>Checks transition stability between speed levels.</t>
  </si>
  <si>
    <t>5</t>
  </si>
  <si>
    <t>FAN-TC005</t>
  </si>
  <si>
    <t>Verify oscillation ON behavior</t>
  </si>
  <si>
    <t>Fan is powered on and fan head is facing forward.</t>
  </si>
  <si>
    <t>1. Turn the fan on.
2. Enable oscillation.
3. Observe side-to-side head movement for at least one full cycle.</t>
  </si>
  <si>
    <t>Oscillation knob/button</t>
  </si>
  <si>
    <t>The fan head rotates left and right continuously within its intended oscillation range.</t>
  </si>
  <si>
    <t>Normal oscillation start case.</t>
  </si>
  <si>
    <t>6</t>
  </si>
  <si>
    <t>FAN-TC006</t>
  </si>
  <si>
    <t>Verify oscillation OFF behavior</t>
  </si>
  <si>
    <t>Oscillation is active.</t>
  </si>
  <si>
    <t>1. Enable oscillation.
2. Disable oscillation.
3. Observe whether the fan head remains fixed afterward.</t>
  </si>
  <si>
    <t>The fan head stops oscillating and remains fixed in one direction.</t>
  </si>
  <si>
    <t>Normal oscillation stop case.</t>
  </si>
  <si>
    <t>7</t>
  </si>
  <si>
    <t>FAN-TC007</t>
  </si>
  <si>
    <t>Edge / Functional</t>
  </si>
  <si>
    <t>Verify oscillation interruption recovery after manual blocking</t>
  </si>
  <si>
    <t>Fan is powered on with oscillation enabled.</t>
  </si>
  <si>
    <t>1. Turn the fan on.
2. Enable oscillation.
3. Gently hold the fan head by hand during oscillation.
4. Release the fan head and observe its recovery movement.</t>
  </si>
  <si>
    <t>Manual interruption during oscillation</t>
  </si>
  <si>
    <t>After being released, the fan should recover smoothly by rotating back in the opposite direction instead of continuing to force toward the extreme angle.</t>
  </si>
  <si>
    <t>No</t>
  </si>
  <si>
    <t>After being released by hand, the fan continues moving toward the maximum oscillation angle before changing direction.</t>
  </si>
  <si>
    <t>Failed</t>
  </si>
  <si>
    <t>FAN-BUG-001</t>
  </si>
  <si>
    <t>Known real-device behavior provided by user; expected written to intentionally reveal the issue.</t>
  </si>
  <si>
    <t>8</t>
  </si>
  <si>
    <t>FAN-TC008</t>
  </si>
  <si>
    <t>Functional / Mechanical</t>
  </si>
  <si>
    <t>Verify vertical tilt adjustment within supported range</t>
  </si>
  <si>
    <t>Fan is powered off and the head tilt mechanism is accessible.</t>
  </si>
  <si>
    <t>1. Gently move the fan head upward within its normal tilt range.
2. Gently move the fan head downward within its normal tilt range.
3. Stop at several positions and observe whether the head remains stable.</t>
  </si>
  <si>
    <t>Multiple tilt angles within normal range</t>
  </si>
  <si>
    <t>The fan head can be adjusted within its supported tilt range and remains stable at the selected angle.</t>
  </si>
  <si>
    <t>Valid for Mitsubishi LV16-RM because tilt exists even though height adjustment does not.</t>
  </si>
  <si>
    <t>9</t>
  </si>
  <si>
    <t>FAN-TC009</t>
  </si>
  <si>
    <t>Edge / Safety</t>
  </si>
  <si>
    <t>Verify resistance when tilt is forced beyond normal range</t>
  </si>
  <si>
    <t>Fan is powered off.</t>
  </si>
  <si>
    <t>1. Move the fan head to the highest supported tilt angle.
2. Apply gentle additional pressure beyond the stop.
3. Observe the mechanical response.</t>
  </si>
  <si>
    <t>Gentle force beyond maximum tilt range</t>
  </si>
  <si>
    <t>The fan should resist movement beyond its supported tilt range without sudden slipping, cracking, or unstable looseness.</t>
  </si>
  <si>
    <t>Replaces the invalid height-adjustment case for this model.</t>
  </si>
  <si>
    <t>10</t>
  </si>
  <si>
    <t>FAN-TC010</t>
  </si>
  <si>
    <t>Reliability / Stability</t>
  </si>
  <si>
    <t>Verify operation stability at maximum speed</t>
  </si>
  <si>
    <t>Fan is assembled correctly on a level floor.</t>
  </si>
  <si>
    <t>1. Turn the fan on.
2. Set the fan to the highest speed.
3. Observe base stability and visible vibration for 5 minutes.</t>
  </si>
  <si>
    <t>Maximum speed, 5-minute run</t>
  </si>
  <si>
    <t>The fan remains upright and stable with only minimal acceptable vibration.</t>
  </si>
  <si>
    <t>Important physical-product stability case.</t>
  </si>
  <si>
    <t>11</t>
  </si>
  <si>
    <t>FAN-TC011</t>
  </si>
  <si>
    <t>Usability / Reliability</t>
  </si>
  <si>
    <t>Verify noise level acceptability at maximum speed</t>
  </si>
  <si>
    <t>Fan is assembled and running at maximum speed.</t>
  </si>
  <si>
    <t>1. Set the fan to the highest speed.
2. Listen closely near the fan body and motor area.
3. Observe for rattling, grinding, squeaking, or irregular noise.</t>
  </si>
  <si>
    <t>Maximum speed</t>
  </si>
  <si>
    <t>No abnormal mechanical noise should be heard during operation.</t>
  </si>
  <si>
    <t>Useful for identifying looseness or motor/grill issues.</t>
  </si>
  <si>
    <t>12</t>
  </si>
  <si>
    <t>FAN-TC012</t>
  </si>
  <si>
    <t>Recovery / Reliability</t>
  </si>
  <si>
    <t>Verify recovery after power interruption</t>
  </si>
  <si>
    <t>Fan is powered on and running.</t>
  </si>
  <si>
    <t>1. Turn the fan on.
2. Disconnect power.
3. Reconnect power.
4. Observe the fan state after power is restored.</t>
  </si>
  <si>
    <t>Power disconnected and restored</t>
  </si>
  <si>
    <t>After power restoration, the fan behaves according to its product design without unsafe or unexpected startup behavior.</t>
  </si>
  <si>
    <t>Expected wording remains specification-oriented.</t>
  </si>
  <si>
    <t>13</t>
  </si>
  <si>
    <t>FAN-TC013</t>
  </si>
  <si>
    <t>Safety</t>
  </si>
  <si>
    <t>Verify front grill prevents blade contact</t>
  </si>
  <si>
    <t>1. Turn the fan on.
2. Bring a finger-sized object close to the front grill without forcing it through.
3. Observe whether blade contact is possible.</t>
  </si>
  <si>
    <t>Finger-sized object near front grill</t>
  </si>
  <si>
    <t>The grill prevents direct contact with rotating blades during normal use.</t>
  </si>
  <si>
    <t>FAN-BUG-002</t>
  </si>
  <si>
    <t>Physical safety case.</t>
  </si>
  <si>
    <t>14</t>
  </si>
  <si>
    <t>FAN-TC014</t>
  </si>
  <si>
    <t>Reliability</t>
  </si>
  <si>
    <t>Verify continuous operation for extended duration</t>
  </si>
  <si>
    <t>Fan is assembled correctly and placed in a safe environment.</t>
  </si>
  <si>
    <t>1. Turn the fan on.
2. Run the fan continuously for 4 hours.
3. Observe whether it continues normal operation without shutdown or severe overheating symptoms.</t>
  </si>
  <si>
    <t>4-hour continuous run</t>
  </si>
  <si>
    <t>The fan operates continuously for the full duration without abnormal shutdown or obvious overheating symptoms.</t>
  </si>
  <si>
    <t>Can later be tied to one of the user’s videos.</t>
  </si>
  <si>
    <t>15</t>
  </si>
  <si>
    <t>FAN-TC015</t>
  </si>
  <si>
    <t>Verify speed changes while oscillation is active</t>
  </si>
  <si>
    <t>1. Turn the fan on.
2. Enable oscillation.
3. Cycle through Speed 1, Speed 2, and Speed 3 while the fan is oscillating.
4. Observe operation continuity.</t>
  </si>
  <si>
    <t>Oscillation active + speed changes</t>
  </si>
  <si>
    <t>The fan continues oscillating normally while speed changes are applied, without stopping, stalling, or abnormal noise.</t>
  </si>
  <si>
    <t>Added edge case from AI output adjustment notes.</t>
  </si>
  <si>
    <t>TEST SUMMARY REPORT</t>
  </si>
  <si>
    <t>Project Name</t>
  </si>
  <si>
    <t>HW01</t>
  </si>
  <si>
    <t>Reviewer</t>
  </si>
  <si>
    <t>Creator</t>
  </si>
  <si>
    <t>Approver</t>
  </si>
  <si>
    <t>Note</t>
  </si>
  <si>
    <t>Test Coverage:</t>
  </si>
  <si>
    <t>Successful Test Coverage:</t>
  </si>
  <si>
    <t>Date:</t>
  </si>
  <si>
    <t>Requirement ID</t>
  </si>
  <si>
    <t>Requirement name</t>
  </si>
  <si>
    <t>Tested</t>
  </si>
  <si>
    <t>Blocked</t>
  </si>
  <si>
    <t>Skipped</t>
  </si>
  <si>
    <t>Not Yet Tested</t>
  </si>
  <si>
    <t>Total</t>
  </si>
  <si>
    <t>Tested Coverage</t>
  </si>
  <si>
    <t>R003</t>
  </si>
  <si>
    <t>&lt;&lt;&lt; Insert New Line above this line &gt;&gt;&gt;</t>
  </si>
  <si>
    <t>Requirement 3 Checklist</t>
  </si>
  <si>
    <t>Checklist Item</t>
  </si>
  <si>
    <t>Evidence / Note</t>
  </si>
  <si>
    <t>Device identified (Mitsubishi LV16-RM)</t>
  </si>
  <si>
    <t>Done</t>
  </si>
  <si>
    <t>Photo available: fan_and_studentID.jpg</t>
  </si>
  <si>
    <t>Physical product photo with student ID prepared</t>
  </si>
  <si>
    <t>User provided device + student ID photo for Requirement 3</t>
  </si>
  <si>
    <t>15 total test cases prepared</t>
  </si>
  <si>
    <t>Filled in Test Cases sheet</t>
  </si>
  <si>
    <t>At least 3 edge cases included</t>
  </si>
  <si>
    <t>Oscillation interruption, forced tilt beyond range, speed change during oscillation</t>
  </si>
  <si>
    <t>AI-generated cases reviewed and corrected by human</t>
  </si>
  <si>
    <t>Adjusted for device-specific behavior and unsupported height adjustment</t>
  </si>
  <si>
    <t>Actual execution videos (&gt;=5) recorded</t>
  </si>
  <si>
    <t>User will record the videos later</t>
  </si>
  <si>
    <t>Detected defects or abnormal behaviors logged</t>
  </si>
  <si>
    <t>Oscillation interruption issue recorded as FAN-BUG-001; front grill safety protection issue recorded as FAN-BUG-002.</t>
  </si>
  <si>
    <t>Test summary copied to Markdown report</t>
  </si>
  <si>
    <t>Requirement 3 summary will be reflected in HW01_Report.md</t>
  </si>
  <si>
    <t>AI usage documented in workbook history</t>
  </si>
  <si>
    <t>Prompt History updated for Requirement 3 support</t>
  </si>
  <si>
    <t>Prompt log updated for Requirement 3 assistance</t>
  </si>
  <si>
    <t>prompt_log.md will reflect this session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</si>
</sst>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yyyy/mm/dd"/>
  </numFmts>
  <fonts count="16">
    <font>
      <sz val="10.0"/>
      <color rgb="FF000000"/>
      <name val="Arial"/>
      <scheme val="minor"/>
    </font>
    <font>
      <sz val="11.0"/>
      <color rgb="FF000000"/>
      <name val="Calibri"/>
    </font>
    <font>
      <b/>
      <color theme="1"/>
      <name val="Arial"/>
    </font>
    <font/>
    <font>
      <color theme="1"/>
      <name val="Arial"/>
      <scheme val="minor"/>
    </font>
    <font>
      <color theme="1"/>
      <name val="Arial"/>
    </font>
    <font>
      <b/>
      <sz val="14.0"/>
      <color theme="1"/>
      <name val="Calibri"/>
    </font>
    <font>
      <b/>
      <sz val="11.0"/>
      <color rgb="FF974806"/>
      <name val="Calibri"/>
    </font>
    <font>
      <sz val="11.0"/>
      <color theme="1"/>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
      <b/>
      <color rgb="FFFF0000"/>
      <name val="Arial"/>
    </font>
    <font>
      <b/>
      <sz val="12.0"/>
      <color rgb="FFFF0000"/>
      <name val="Arial"/>
    </font>
  </fonts>
  <fills count="7">
    <fill>
      <patternFill patternType="none"/>
    </fill>
    <fill>
      <patternFill patternType="lightGray"/>
    </fill>
    <fill>
      <patternFill patternType="solid">
        <fgColor rgb="FF99CCFF"/>
        <bgColor rgb="FF99CCFF"/>
      </patternFill>
    </fill>
    <fill>
      <patternFill patternType="solid">
        <fgColor rgb="FFC0C0C0"/>
        <bgColor rgb="FFC0C0C0"/>
      </patternFill>
    </fill>
    <fill>
      <patternFill patternType="solid">
        <fgColor rgb="FFEFEFEF"/>
        <bgColor rgb="FFEFEFEF"/>
      </patternFill>
    </fill>
    <fill>
      <patternFill patternType="solid">
        <fgColor rgb="FFFFFFFF"/>
        <bgColor rgb="FFFFFFFF"/>
      </patternFill>
    </fill>
    <fill>
      <patternFill patternType="solid">
        <fgColor rgb="FFCCFFFF"/>
        <bgColor rgb="FFCCFFF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horizontal="center" shrinkToFit="0" vertical="bottom" wrapText="1"/>
    </xf>
    <xf borderId="1" fillId="2" fontId="2" numFmtId="0" xfId="0" applyAlignment="1" applyBorder="1" applyFill="1" applyFont="1">
      <alignment horizontal="center" readingOrder="0" shrinkToFit="0" vertical="bottom" wrapText="1"/>
    </xf>
    <xf borderId="1" fillId="0" fontId="3" numFmtId="0" xfId="0" applyBorder="1" applyFont="1"/>
    <xf borderId="0" fillId="0" fontId="4" numFmtId="0" xfId="0" applyAlignment="1" applyFont="1">
      <alignment shrinkToFit="0" wrapText="1"/>
    </xf>
    <xf borderId="2" fillId="3" fontId="2" numFmtId="0" xfId="0" applyAlignment="1" applyBorder="1" applyFill="1" applyFont="1">
      <alignment horizontal="center" shrinkToFit="0" vertical="center" wrapText="1"/>
    </xf>
    <xf borderId="3" fillId="3" fontId="2"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1" numFmtId="0" xfId="0" applyAlignment="1" applyBorder="1" applyFont="1">
      <alignment horizontal="right" shrinkToFit="0" vertical="top" wrapText="1"/>
    </xf>
    <xf borderId="2" fillId="0" fontId="1" numFmtId="0" xfId="0" applyAlignment="1" applyBorder="1" applyFont="1">
      <alignment horizontal="center" shrinkToFit="0" vertical="top" wrapText="1"/>
    </xf>
    <xf borderId="2" fillId="0" fontId="1" numFmtId="0" xfId="0" applyAlignment="1" applyBorder="1" applyFont="1">
      <alignment shrinkToFit="0" vertical="top" wrapText="1"/>
    </xf>
    <xf borderId="2" fillId="4" fontId="1" numFmtId="0" xfId="0" applyAlignment="1" applyBorder="1" applyFill="1" applyFont="1">
      <alignment shrinkToFit="0" vertical="top" wrapText="1"/>
    </xf>
    <xf borderId="2" fillId="4" fontId="1" numFmtId="0" xfId="0" applyAlignment="1" applyBorder="1" applyFont="1">
      <alignment readingOrder="0" shrinkToFit="0" vertical="top" wrapText="1"/>
    </xf>
    <xf borderId="4" fillId="4" fontId="5" numFmtId="164" xfId="0" applyAlignment="1" applyBorder="1" applyFont="1" applyNumberFormat="1">
      <alignment horizontal="center" shrinkToFit="0" vertical="top" wrapText="1"/>
    </xf>
    <xf borderId="0" fillId="0" fontId="5" numFmtId="0" xfId="0" applyAlignment="1" applyFont="1">
      <alignment shrinkToFit="0" vertical="top" wrapText="1"/>
    </xf>
    <xf borderId="2" fillId="0" fontId="1" numFmtId="0" xfId="0" applyAlignment="1" applyBorder="1" applyFont="1">
      <alignment readingOrder="0" shrinkToFit="0" vertical="top" wrapText="1"/>
    </xf>
    <xf borderId="5" fillId="0" fontId="6" numFmtId="0" xfId="0" applyAlignment="1" applyBorder="1" applyFont="1">
      <alignment horizontal="center" vertical="bottom"/>
    </xf>
    <xf borderId="6" fillId="0" fontId="3" numFmtId="0" xfId="0" applyBorder="1" applyFont="1"/>
    <xf borderId="7" fillId="0" fontId="3" numFmtId="0" xfId="0" applyBorder="1" applyFont="1"/>
    <xf borderId="8" fillId="0" fontId="7" numFmtId="0" xfId="0" applyAlignment="1" applyBorder="1" applyFont="1">
      <alignment horizontal="right" vertical="bottom"/>
    </xf>
    <xf borderId="4" fillId="0" fontId="3" numFmtId="0" xfId="0" applyBorder="1" applyFont="1"/>
    <xf borderId="1" fillId="0" fontId="8" numFmtId="0" xfId="0" applyAlignment="1" applyBorder="1" applyFont="1">
      <alignment horizontal="center" readingOrder="0" vertical="bottom"/>
    </xf>
    <xf borderId="1" fillId="0" fontId="7" numFmtId="0" xfId="0" applyAlignment="1" applyBorder="1" applyFont="1">
      <alignment horizontal="right" vertical="bottom"/>
    </xf>
    <xf borderId="8" fillId="0" fontId="9" numFmtId="0" xfId="0" applyAlignment="1" applyBorder="1" applyFont="1">
      <alignment horizontal="right"/>
    </xf>
    <xf borderId="1" fillId="0" fontId="5" numFmtId="0" xfId="0" applyBorder="1" applyFont="1"/>
    <xf borderId="0" fillId="0" fontId="8" numFmtId="0" xfId="0" applyAlignment="1" applyFont="1">
      <alignment vertical="bottom"/>
    </xf>
    <xf borderId="0" fillId="0" fontId="10" numFmtId="0" xfId="0" applyAlignment="1" applyFont="1">
      <alignment horizontal="right" vertical="bottom"/>
    </xf>
    <xf borderId="0" fillId="0" fontId="11" numFmtId="9" xfId="0" applyAlignment="1" applyFont="1" applyNumberFormat="1">
      <alignment horizontal="center" vertical="bottom"/>
    </xf>
    <xf borderId="0" fillId="0" fontId="10" numFmtId="14" xfId="0" applyAlignment="1" applyFont="1" applyNumberFormat="1">
      <alignment horizontal="right" vertical="bottom"/>
    </xf>
    <xf borderId="0" fillId="0" fontId="10" numFmtId="0" xfId="0" applyAlignment="1" applyFont="1">
      <alignment horizontal="center" vertical="bottom"/>
    </xf>
    <xf borderId="0" fillId="0" fontId="12" numFmtId="165" xfId="0" applyAlignment="1" applyFont="1" applyNumberFormat="1">
      <alignment horizontal="center" readingOrder="0" vertical="bottom"/>
    </xf>
    <xf borderId="0" fillId="0" fontId="4" numFmtId="165" xfId="0" applyAlignment="1" applyFont="1" applyNumberFormat="1">
      <alignment readingOrder="0"/>
    </xf>
    <xf borderId="0" fillId="0" fontId="8" numFmtId="14" xfId="0" applyAlignment="1" applyFont="1" applyNumberFormat="1">
      <alignment vertical="bottom"/>
    </xf>
    <xf borderId="2" fillId="5" fontId="8" numFmtId="0" xfId="0" applyAlignment="1" applyBorder="1" applyFill="1" applyFont="1">
      <alignment horizontal="center" vertical="bottom"/>
    </xf>
    <xf borderId="2" fillId="5" fontId="8" numFmtId="0" xfId="0" applyAlignment="1" applyBorder="1" applyFont="1">
      <alignment horizontal="center" readingOrder="0" vertical="bottom"/>
    </xf>
    <xf borderId="2" fillId="5" fontId="8" numFmtId="0" xfId="0" applyAlignment="1" applyBorder="1" applyFont="1">
      <alignment readingOrder="0" vertical="bottom"/>
    </xf>
    <xf borderId="2" fillId="5" fontId="8" numFmtId="0" xfId="0" applyAlignment="1" applyBorder="1" applyFont="1">
      <alignment horizontal="center" vertical="bottom"/>
    </xf>
    <xf borderId="4" fillId="0" fontId="13" numFmtId="0" xfId="0" applyAlignment="1" applyBorder="1" applyFont="1">
      <alignment horizontal="center" vertical="bottom"/>
    </xf>
    <xf borderId="2" fillId="5" fontId="8" numFmtId="9" xfId="0" applyAlignment="1" applyBorder="1" applyFont="1" applyNumberFormat="1">
      <alignment horizontal="center" vertical="bottom"/>
    </xf>
    <xf borderId="3" fillId="6" fontId="14" numFmtId="0" xfId="0" applyBorder="1" applyFill="1" applyFont="1"/>
    <xf borderId="3" fillId="6" fontId="5" numFmtId="0" xfId="0" applyBorder="1" applyFont="1"/>
    <xf borderId="3" fillId="6" fontId="2" numFmtId="0" xfId="0" applyBorder="1" applyFont="1"/>
    <xf borderId="3" fillId="6" fontId="15" numFmtId="0" xfId="0" applyAlignment="1" applyBorder="1" applyFont="1">
      <alignment horizontal="center"/>
    </xf>
    <xf borderId="3" fillId="6" fontId="15" numFmtId="0" xfId="0" applyAlignment="1" applyBorder="1" applyFont="1">
      <alignment horizontal="center" readingOrder="0"/>
    </xf>
    <xf borderId="3" fillId="6" fontId="15" numFmtId="9" xfId="0" applyAlignment="1" applyBorder="1" applyFont="1" applyNumberFormat="1">
      <alignment horizontal="center" readingOrder="0" shrinkToFit="0" vertical="center" wrapText="0"/>
    </xf>
    <xf borderId="5" fillId="3" fontId="2" numFmtId="0" xfId="0" applyAlignment="1" applyBorder="1" applyFont="1">
      <alignment horizontal="center" shrinkToFit="0" vertical="bottom" wrapText="1"/>
    </xf>
    <xf borderId="3" fillId="3" fontId="2" numFmtId="0" xfId="0" applyAlignment="1" applyBorder="1" applyFont="1">
      <alignment shrinkToFit="0" vertical="bottom" wrapText="1"/>
    </xf>
    <xf borderId="3" fillId="0" fontId="5" numFmtId="0" xfId="0" applyAlignment="1" applyBorder="1" applyFont="1">
      <alignment shrinkToFit="0" vertical="bottom" wrapText="1"/>
    </xf>
    <xf borderId="3" fillId="0" fontId="5"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3.63"/>
    <col customWidth="1" min="2" max="2" width="16.5"/>
    <col customWidth="1" min="3" max="3" width="18.88"/>
    <col customWidth="1" min="4" max="4" width="13.38"/>
    <col customWidth="1" min="5" max="5" width="6.5"/>
    <col customWidth="1" min="6" max="6" width="15.5"/>
    <col customWidth="1" min="7" max="7" width="16.5"/>
    <col customWidth="1" min="8" max="9" width="21.88"/>
  </cols>
  <sheetData>
    <row r="1" ht="15.75" customHeight="1">
      <c r="A1" s="1"/>
      <c r="B1" s="2"/>
      <c r="C1" s="2"/>
      <c r="D1" s="2"/>
      <c r="E1" s="1"/>
      <c r="F1" s="1"/>
      <c r="G1" s="1"/>
      <c r="H1" s="1"/>
      <c r="I1" s="1"/>
      <c r="J1" s="1"/>
      <c r="K1" s="1"/>
      <c r="L1" s="1"/>
      <c r="M1" s="3" t="s">
        <v>0</v>
      </c>
      <c r="N1" s="4"/>
      <c r="O1" s="4"/>
      <c r="P1" s="4"/>
      <c r="Q1" s="4"/>
      <c r="R1" s="4"/>
      <c r="S1" s="5"/>
      <c r="T1" s="5"/>
    </row>
    <row r="2" ht="15.75" customHeight="1">
      <c r="A2" s="6" t="s">
        <v>1</v>
      </c>
      <c r="B2" s="6" t="s">
        <v>2</v>
      </c>
      <c r="C2" s="6" t="s">
        <v>3</v>
      </c>
      <c r="D2" s="6" t="s">
        <v>4</v>
      </c>
      <c r="E2" s="6" t="s">
        <v>5</v>
      </c>
      <c r="F2" s="6" t="s">
        <v>6</v>
      </c>
      <c r="G2" s="6" t="s">
        <v>7</v>
      </c>
      <c r="H2" s="6" t="s">
        <v>8</v>
      </c>
      <c r="I2" s="6" t="s">
        <v>9</v>
      </c>
      <c r="J2" s="6" t="s">
        <v>10</v>
      </c>
      <c r="K2" s="6" t="s">
        <v>11</v>
      </c>
      <c r="L2" s="6" t="s">
        <v>12</v>
      </c>
      <c r="M2" s="7" t="s">
        <v>13</v>
      </c>
      <c r="N2" s="7" t="s">
        <v>14</v>
      </c>
      <c r="O2" s="7" t="s">
        <v>15</v>
      </c>
      <c r="P2" s="7" t="s">
        <v>16</v>
      </c>
      <c r="Q2" s="7" t="s">
        <v>17</v>
      </c>
      <c r="R2" s="7" t="s">
        <v>18</v>
      </c>
      <c r="S2" s="8"/>
      <c r="T2" s="5"/>
    </row>
    <row r="3" ht="15.75" customHeight="1">
      <c r="A3" s="9" t="s">
        <v>19</v>
      </c>
      <c r="B3" s="10" t="s">
        <v>20</v>
      </c>
      <c r="C3" s="10" t="s">
        <v>21</v>
      </c>
      <c r="D3" s="10" t="s">
        <v>22</v>
      </c>
      <c r="E3" s="11" t="s">
        <v>23</v>
      </c>
      <c r="F3" s="11" t="s">
        <v>24</v>
      </c>
      <c r="G3" s="11" t="s">
        <v>25</v>
      </c>
      <c r="H3" s="11" t="s">
        <v>26</v>
      </c>
      <c r="I3" s="11" t="s">
        <v>27</v>
      </c>
      <c r="J3" s="11" t="s">
        <v>28</v>
      </c>
      <c r="K3" s="11" t="s">
        <v>29</v>
      </c>
      <c r="L3" s="11" t="s">
        <v>30</v>
      </c>
      <c r="M3" s="12" t="s">
        <v>31</v>
      </c>
      <c r="N3" s="13" t="s">
        <v>32</v>
      </c>
      <c r="O3" s="12" t="s">
        <v>33</v>
      </c>
      <c r="P3" s="12" t="s">
        <v>29</v>
      </c>
      <c r="Q3" s="14" t="s">
        <v>34</v>
      </c>
      <c r="R3" s="12" t="s">
        <v>35</v>
      </c>
      <c r="S3" s="15" t="s">
        <v>33</v>
      </c>
      <c r="T3" s="5"/>
    </row>
    <row r="4" ht="15.75" customHeight="1">
      <c r="A4" s="9" t="s">
        <v>36</v>
      </c>
      <c r="B4" s="10" t="s">
        <v>37</v>
      </c>
      <c r="C4" s="10" t="s">
        <v>21</v>
      </c>
      <c r="D4" s="10" t="s">
        <v>22</v>
      </c>
      <c r="E4" s="11" t="s">
        <v>23</v>
      </c>
      <c r="F4" s="11" t="s">
        <v>38</v>
      </c>
      <c r="G4" s="11" t="s">
        <v>39</v>
      </c>
      <c r="H4" s="11" t="s">
        <v>40</v>
      </c>
      <c r="I4" s="11" t="s">
        <v>27</v>
      </c>
      <c r="J4" s="11" t="s">
        <v>41</v>
      </c>
      <c r="K4" s="11" t="s">
        <v>29</v>
      </c>
      <c r="L4" s="11" t="s">
        <v>30</v>
      </c>
      <c r="M4" s="12" t="s">
        <v>31</v>
      </c>
      <c r="N4" s="13" t="s">
        <v>32</v>
      </c>
      <c r="O4" s="12" t="s">
        <v>33</v>
      </c>
      <c r="P4" s="12" t="s">
        <v>29</v>
      </c>
      <c r="Q4" s="14" t="s">
        <v>34</v>
      </c>
      <c r="R4" s="12" t="s">
        <v>42</v>
      </c>
      <c r="S4" s="15" t="s">
        <v>33</v>
      </c>
      <c r="T4" s="5"/>
    </row>
    <row r="5" ht="15.75" customHeight="1">
      <c r="A5" s="9" t="s">
        <v>43</v>
      </c>
      <c r="B5" s="10" t="s">
        <v>44</v>
      </c>
      <c r="C5" s="10" t="s">
        <v>21</v>
      </c>
      <c r="D5" s="10" t="s">
        <v>22</v>
      </c>
      <c r="E5" s="11" t="s">
        <v>23</v>
      </c>
      <c r="F5" s="11" t="s">
        <v>45</v>
      </c>
      <c r="G5" s="11" t="s">
        <v>46</v>
      </c>
      <c r="H5" s="11" t="s">
        <v>47</v>
      </c>
      <c r="I5" s="11" t="s">
        <v>48</v>
      </c>
      <c r="J5" s="11" t="s">
        <v>49</v>
      </c>
      <c r="K5" s="11" t="s">
        <v>29</v>
      </c>
      <c r="L5" s="11" t="s">
        <v>30</v>
      </c>
      <c r="M5" s="12" t="s">
        <v>31</v>
      </c>
      <c r="N5" s="13" t="s">
        <v>32</v>
      </c>
      <c r="O5" s="12" t="s">
        <v>33</v>
      </c>
      <c r="P5" s="12" t="s">
        <v>29</v>
      </c>
      <c r="Q5" s="14" t="s">
        <v>34</v>
      </c>
      <c r="R5" s="12" t="s">
        <v>50</v>
      </c>
      <c r="S5" s="15" t="s">
        <v>33</v>
      </c>
      <c r="T5" s="5"/>
    </row>
    <row r="6" ht="15.75" customHeight="1">
      <c r="A6" s="9" t="s">
        <v>51</v>
      </c>
      <c r="B6" s="10" t="s">
        <v>52</v>
      </c>
      <c r="C6" s="10" t="s">
        <v>21</v>
      </c>
      <c r="D6" s="10" t="s">
        <v>22</v>
      </c>
      <c r="E6" s="11" t="s">
        <v>23</v>
      </c>
      <c r="F6" s="11" t="s">
        <v>53</v>
      </c>
      <c r="G6" s="11" t="s">
        <v>54</v>
      </c>
      <c r="H6" s="11" t="s">
        <v>55</v>
      </c>
      <c r="I6" s="11" t="s">
        <v>56</v>
      </c>
      <c r="J6" s="11" t="s">
        <v>57</v>
      </c>
      <c r="K6" s="11" t="s">
        <v>29</v>
      </c>
      <c r="L6" s="11" t="s">
        <v>30</v>
      </c>
      <c r="M6" s="12" t="s">
        <v>31</v>
      </c>
      <c r="N6" s="13" t="s">
        <v>32</v>
      </c>
      <c r="O6" s="12" t="s">
        <v>33</v>
      </c>
      <c r="P6" s="12" t="s">
        <v>29</v>
      </c>
      <c r="Q6" s="14" t="s">
        <v>34</v>
      </c>
      <c r="R6" s="12" t="s">
        <v>58</v>
      </c>
      <c r="S6" s="15" t="s">
        <v>33</v>
      </c>
      <c r="T6" s="5"/>
    </row>
    <row r="7" ht="15.75" customHeight="1">
      <c r="A7" s="9" t="s">
        <v>59</v>
      </c>
      <c r="B7" s="10" t="s">
        <v>60</v>
      </c>
      <c r="C7" s="10" t="s">
        <v>21</v>
      </c>
      <c r="D7" s="10" t="s">
        <v>22</v>
      </c>
      <c r="E7" s="11" t="s">
        <v>23</v>
      </c>
      <c r="F7" s="11" t="s">
        <v>61</v>
      </c>
      <c r="G7" s="11" t="s">
        <v>62</v>
      </c>
      <c r="H7" s="11" t="s">
        <v>63</v>
      </c>
      <c r="I7" s="11" t="s">
        <v>64</v>
      </c>
      <c r="J7" s="11" t="s">
        <v>65</v>
      </c>
      <c r="K7" s="11" t="s">
        <v>29</v>
      </c>
      <c r="L7" s="11" t="s">
        <v>30</v>
      </c>
      <c r="M7" s="12" t="s">
        <v>31</v>
      </c>
      <c r="N7" s="13" t="s">
        <v>32</v>
      </c>
      <c r="O7" s="12" t="s">
        <v>33</v>
      </c>
      <c r="P7" s="12" t="s">
        <v>29</v>
      </c>
      <c r="Q7" s="14" t="s">
        <v>34</v>
      </c>
      <c r="R7" s="12" t="s">
        <v>66</v>
      </c>
      <c r="S7" s="15" t="s">
        <v>33</v>
      </c>
      <c r="T7" s="5"/>
    </row>
    <row r="8" ht="15.75" customHeight="1">
      <c r="A8" s="9" t="s">
        <v>67</v>
      </c>
      <c r="B8" s="10" t="s">
        <v>68</v>
      </c>
      <c r="C8" s="10" t="s">
        <v>21</v>
      </c>
      <c r="D8" s="10" t="s">
        <v>22</v>
      </c>
      <c r="E8" s="11" t="s">
        <v>23</v>
      </c>
      <c r="F8" s="11" t="s">
        <v>69</v>
      </c>
      <c r="G8" s="11" t="s">
        <v>70</v>
      </c>
      <c r="H8" s="11" t="s">
        <v>71</v>
      </c>
      <c r="I8" s="11" t="s">
        <v>64</v>
      </c>
      <c r="J8" s="11" t="s">
        <v>72</v>
      </c>
      <c r="K8" s="11" t="s">
        <v>29</v>
      </c>
      <c r="L8" s="11" t="s">
        <v>30</v>
      </c>
      <c r="M8" s="12" t="s">
        <v>31</v>
      </c>
      <c r="N8" s="13" t="s">
        <v>32</v>
      </c>
      <c r="O8" s="12" t="s">
        <v>33</v>
      </c>
      <c r="P8" s="12" t="s">
        <v>29</v>
      </c>
      <c r="Q8" s="14" t="s">
        <v>34</v>
      </c>
      <c r="R8" s="12" t="s">
        <v>73</v>
      </c>
      <c r="S8" s="15" t="s">
        <v>33</v>
      </c>
      <c r="T8" s="5"/>
    </row>
    <row r="9" ht="15.75" customHeight="1">
      <c r="A9" s="9" t="s">
        <v>74</v>
      </c>
      <c r="B9" s="10" t="s">
        <v>75</v>
      </c>
      <c r="C9" s="10" t="s">
        <v>76</v>
      </c>
      <c r="D9" s="10" t="s">
        <v>22</v>
      </c>
      <c r="E9" s="11" t="s">
        <v>23</v>
      </c>
      <c r="F9" s="11" t="s">
        <v>77</v>
      </c>
      <c r="G9" s="11" t="s">
        <v>78</v>
      </c>
      <c r="H9" s="11" t="s">
        <v>79</v>
      </c>
      <c r="I9" s="11" t="s">
        <v>80</v>
      </c>
      <c r="J9" s="11" t="s">
        <v>81</v>
      </c>
      <c r="K9" s="11" t="s">
        <v>29</v>
      </c>
      <c r="L9" s="16" t="s">
        <v>82</v>
      </c>
      <c r="M9" s="12" t="s">
        <v>83</v>
      </c>
      <c r="N9" s="12" t="s">
        <v>84</v>
      </c>
      <c r="O9" s="12" t="s">
        <v>85</v>
      </c>
      <c r="P9" s="12" t="s">
        <v>29</v>
      </c>
      <c r="Q9" s="14" t="s">
        <v>34</v>
      </c>
      <c r="R9" s="12" t="s">
        <v>86</v>
      </c>
      <c r="S9" s="15" t="s">
        <v>33</v>
      </c>
      <c r="T9" s="5"/>
    </row>
    <row r="10" ht="15.75" customHeight="1">
      <c r="A10" s="9" t="s">
        <v>87</v>
      </c>
      <c r="B10" s="10" t="s">
        <v>88</v>
      </c>
      <c r="C10" s="10" t="s">
        <v>89</v>
      </c>
      <c r="D10" s="10" t="s">
        <v>22</v>
      </c>
      <c r="E10" s="11" t="s">
        <v>23</v>
      </c>
      <c r="F10" s="11" t="s">
        <v>90</v>
      </c>
      <c r="G10" s="11" t="s">
        <v>91</v>
      </c>
      <c r="H10" s="11" t="s">
        <v>92</v>
      </c>
      <c r="I10" s="11" t="s">
        <v>93</v>
      </c>
      <c r="J10" s="11" t="s">
        <v>94</v>
      </c>
      <c r="K10" s="11" t="s">
        <v>29</v>
      </c>
      <c r="L10" s="11" t="s">
        <v>30</v>
      </c>
      <c r="M10" s="12" t="s">
        <v>31</v>
      </c>
      <c r="N10" s="13" t="s">
        <v>32</v>
      </c>
      <c r="O10" s="12" t="s">
        <v>33</v>
      </c>
      <c r="P10" s="12" t="s">
        <v>29</v>
      </c>
      <c r="Q10" s="14" t="s">
        <v>34</v>
      </c>
      <c r="R10" s="12" t="s">
        <v>95</v>
      </c>
      <c r="S10" s="15" t="s">
        <v>33</v>
      </c>
      <c r="T10" s="5"/>
    </row>
    <row r="11" ht="15.75" customHeight="1">
      <c r="A11" s="9" t="s">
        <v>96</v>
      </c>
      <c r="B11" s="10" t="s">
        <v>97</v>
      </c>
      <c r="C11" s="10" t="s">
        <v>98</v>
      </c>
      <c r="D11" s="10" t="s">
        <v>22</v>
      </c>
      <c r="E11" s="11" t="s">
        <v>23</v>
      </c>
      <c r="F11" s="11" t="s">
        <v>99</v>
      </c>
      <c r="G11" s="11" t="s">
        <v>100</v>
      </c>
      <c r="H11" s="11" t="s">
        <v>101</v>
      </c>
      <c r="I11" s="11" t="s">
        <v>102</v>
      </c>
      <c r="J11" s="11" t="s">
        <v>103</v>
      </c>
      <c r="K11" s="11" t="s">
        <v>29</v>
      </c>
      <c r="L11" s="16" t="s">
        <v>82</v>
      </c>
      <c r="M11" s="12" t="s">
        <v>31</v>
      </c>
      <c r="N11" s="13" t="s">
        <v>32</v>
      </c>
      <c r="O11" s="12" t="s">
        <v>33</v>
      </c>
      <c r="P11" s="12" t="s">
        <v>29</v>
      </c>
      <c r="Q11" s="14" t="s">
        <v>34</v>
      </c>
      <c r="R11" s="12" t="s">
        <v>104</v>
      </c>
      <c r="S11" s="15" t="s">
        <v>33</v>
      </c>
      <c r="T11" s="5"/>
    </row>
    <row r="12" ht="15.75" customHeight="1">
      <c r="A12" s="9" t="s">
        <v>105</v>
      </c>
      <c r="B12" s="10" t="s">
        <v>106</v>
      </c>
      <c r="C12" s="10" t="s">
        <v>107</v>
      </c>
      <c r="D12" s="10" t="s">
        <v>22</v>
      </c>
      <c r="E12" s="11" t="s">
        <v>23</v>
      </c>
      <c r="F12" s="11" t="s">
        <v>108</v>
      </c>
      <c r="G12" s="11" t="s">
        <v>109</v>
      </c>
      <c r="H12" s="11" t="s">
        <v>110</v>
      </c>
      <c r="I12" s="11" t="s">
        <v>111</v>
      </c>
      <c r="J12" s="11" t="s">
        <v>112</v>
      </c>
      <c r="K12" s="11" t="s">
        <v>29</v>
      </c>
      <c r="L12" s="11" t="s">
        <v>30</v>
      </c>
      <c r="M12" s="12" t="s">
        <v>31</v>
      </c>
      <c r="N12" s="13" t="s">
        <v>32</v>
      </c>
      <c r="O12" s="12" t="s">
        <v>33</v>
      </c>
      <c r="P12" s="12" t="s">
        <v>29</v>
      </c>
      <c r="Q12" s="14" t="s">
        <v>34</v>
      </c>
      <c r="R12" s="12" t="s">
        <v>113</v>
      </c>
      <c r="S12" s="15" t="s">
        <v>33</v>
      </c>
      <c r="T12" s="5"/>
    </row>
    <row r="13" ht="15.75" customHeight="1">
      <c r="A13" s="9" t="s">
        <v>114</v>
      </c>
      <c r="B13" s="10" t="s">
        <v>115</v>
      </c>
      <c r="C13" s="10" t="s">
        <v>116</v>
      </c>
      <c r="D13" s="10" t="s">
        <v>22</v>
      </c>
      <c r="E13" s="11" t="s">
        <v>23</v>
      </c>
      <c r="F13" s="11" t="s">
        <v>117</v>
      </c>
      <c r="G13" s="11" t="s">
        <v>118</v>
      </c>
      <c r="H13" s="11" t="s">
        <v>119</v>
      </c>
      <c r="I13" s="11" t="s">
        <v>120</v>
      </c>
      <c r="J13" s="11" t="s">
        <v>121</v>
      </c>
      <c r="K13" s="11" t="s">
        <v>29</v>
      </c>
      <c r="L13" s="11" t="s">
        <v>30</v>
      </c>
      <c r="M13" s="12" t="s">
        <v>31</v>
      </c>
      <c r="N13" s="13" t="s">
        <v>32</v>
      </c>
      <c r="O13" s="12" t="s">
        <v>33</v>
      </c>
      <c r="P13" s="12" t="s">
        <v>29</v>
      </c>
      <c r="Q13" s="14" t="s">
        <v>34</v>
      </c>
      <c r="R13" s="12" t="s">
        <v>122</v>
      </c>
      <c r="S13" s="15" t="s">
        <v>33</v>
      </c>
      <c r="T13" s="5"/>
    </row>
    <row r="14" ht="15.75" customHeight="1">
      <c r="A14" s="9" t="s">
        <v>123</v>
      </c>
      <c r="B14" s="10" t="s">
        <v>124</v>
      </c>
      <c r="C14" s="10" t="s">
        <v>125</v>
      </c>
      <c r="D14" s="10" t="s">
        <v>22</v>
      </c>
      <c r="E14" s="11" t="s">
        <v>23</v>
      </c>
      <c r="F14" s="11" t="s">
        <v>126</v>
      </c>
      <c r="G14" s="11" t="s">
        <v>127</v>
      </c>
      <c r="H14" s="11" t="s">
        <v>128</v>
      </c>
      <c r="I14" s="11" t="s">
        <v>129</v>
      </c>
      <c r="J14" s="11" t="s">
        <v>130</v>
      </c>
      <c r="K14" s="11" t="s">
        <v>29</v>
      </c>
      <c r="L14" s="11" t="s">
        <v>30</v>
      </c>
      <c r="M14" s="12" t="s">
        <v>31</v>
      </c>
      <c r="N14" s="13" t="s">
        <v>32</v>
      </c>
      <c r="O14" s="12" t="s">
        <v>33</v>
      </c>
      <c r="P14" s="12" t="s">
        <v>29</v>
      </c>
      <c r="Q14" s="14" t="s">
        <v>34</v>
      </c>
      <c r="R14" s="12" t="s">
        <v>131</v>
      </c>
      <c r="S14" s="15" t="s">
        <v>33</v>
      </c>
      <c r="T14" s="5"/>
    </row>
    <row r="15" ht="15.75" customHeight="1">
      <c r="A15" s="9" t="s">
        <v>132</v>
      </c>
      <c r="B15" s="10" t="s">
        <v>133</v>
      </c>
      <c r="C15" s="10" t="s">
        <v>134</v>
      </c>
      <c r="D15" s="10" t="s">
        <v>22</v>
      </c>
      <c r="E15" s="11" t="s">
        <v>23</v>
      </c>
      <c r="F15" s="11" t="s">
        <v>135</v>
      </c>
      <c r="G15" s="11" t="s">
        <v>127</v>
      </c>
      <c r="H15" s="11" t="s">
        <v>136</v>
      </c>
      <c r="I15" s="11" t="s">
        <v>137</v>
      </c>
      <c r="J15" s="11" t="s">
        <v>138</v>
      </c>
      <c r="K15" s="11" t="s">
        <v>29</v>
      </c>
      <c r="L15" s="11" t="s">
        <v>30</v>
      </c>
      <c r="M15" s="12" t="s">
        <v>31</v>
      </c>
      <c r="N15" s="13" t="s">
        <v>84</v>
      </c>
      <c r="O15" s="13" t="s">
        <v>139</v>
      </c>
      <c r="P15" s="12" t="s">
        <v>29</v>
      </c>
      <c r="Q15" s="14" t="s">
        <v>34</v>
      </c>
      <c r="R15" s="12" t="s">
        <v>140</v>
      </c>
      <c r="S15" s="15" t="s">
        <v>33</v>
      </c>
      <c r="T15" s="5"/>
    </row>
    <row r="16" ht="15.75" customHeight="1">
      <c r="A16" s="9" t="s">
        <v>141</v>
      </c>
      <c r="B16" s="10" t="s">
        <v>142</v>
      </c>
      <c r="C16" s="10" t="s">
        <v>143</v>
      </c>
      <c r="D16" s="10" t="s">
        <v>22</v>
      </c>
      <c r="E16" s="11" t="s">
        <v>23</v>
      </c>
      <c r="F16" s="11" t="s">
        <v>144</v>
      </c>
      <c r="G16" s="11" t="s">
        <v>145</v>
      </c>
      <c r="H16" s="11" t="s">
        <v>146</v>
      </c>
      <c r="I16" s="11" t="s">
        <v>147</v>
      </c>
      <c r="J16" s="11" t="s">
        <v>148</v>
      </c>
      <c r="K16" s="11" t="s">
        <v>29</v>
      </c>
      <c r="L16" s="11" t="s">
        <v>30</v>
      </c>
      <c r="M16" s="12" t="s">
        <v>31</v>
      </c>
      <c r="N16" s="13" t="s">
        <v>32</v>
      </c>
      <c r="O16" s="12" t="s">
        <v>33</v>
      </c>
      <c r="P16" s="12" t="s">
        <v>29</v>
      </c>
      <c r="Q16" s="14" t="s">
        <v>34</v>
      </c>
      <c r="R16" s="12" t="s">
        <v>149</v>
      </c>
      <c r="S16" s="15" t="s">
        <v>33</v>
      </c>
      <c r="T16" s="5"/>
    </row>
    <row r="17" ht="15.75" customHeight="1">
      <c r="A17" s="9" t="s">
        <v>150</v>
      </c>
      <c r="B17" s="10" t="s">
        <v>151</v>
      </c>
      <c r="C17" s="10" t="s">
        <v>76</v>
      </c>
      <c r="D17" s="10" t="s">
        <v>22</v>
      </c>
      <c r="E17" s="11" t="s">
        <v>23</v>
      </c>
      <c r="F17" s="11" t="s">
        <v>152</v>
      </c>
      <c r="G17" s="11" t="s">
        <v>78</v>
      </c>
      <c r="H17" s="11" t="s">
        <v>153</v>
      </c>
      <c r="I17" s="11" t="s">
        <v>154</v>
      </c>
      <c r="J17" s="11" t="s">
        <v>155</v>
      </c>
      <c r="K17" s="11" t="s">
        <v>29</v>
      </c>
      <c r="L17" s="16" t="s">
        <v>82</v>
      </c>
      <c r="M17" s="12" t="s">
        <v>31</v>
      </c>
      <c r="N17" s="13" t="s">
        <v>32</v>
      </c>
      <c r="O17" s="12" t="s">
        <v>33</v>
      </c>
      <c r="P17" s="12" t="s">
        <v>29</v>
      </c>
      <c r="Q17" s="14" t="s">
        <v>34</v>
      </c>
      <c r="R17" s="12" t="s">
        <v>156</v>
      </c>
      <c r="S17" s="15" t="s">
        <v>33</v>
      </c>
      <c r="T17" s="5"/>
    </row>
    <row r="18" ht="15.75" customHeight="1">
      <c r="A18" s="5"/>
      <c r="B18" s="5"/>
      <c r="C18" s="5"/>
      <c r="D18" s="5"/>
      <c r="E18" s="5"/>
      <c r="F18" s="5"/>
      <c r="G18" s="5"/>
      <c r="H18" s="5"/>
      <c r="I18" s="5"/>
      <c r="J18" s="5"/>
      <c r="K18" s="5"/>
      <c r="L18" s="5"/>
      <c r="M18" s="5"/>
      <c r="N18" s="5"/>
      <c r="O18" s="5"/>
      <c r="P18" s="5"/>
      <c r="Q18" s="5"/>
      <c r="R18" s="5"/>
      <c r="S18" s="5"/>
      <c r="T18" s="5"/>
    </row>
    <row r="19" ht="15.75" customHeight="1">
      <c r="A19" s="5"/>
      <c r="B19" s="5"/>
      <c r="C19" s="5"/>
      <c r="D19" s="5"/>
      <c r="E19" s="5"/>
      <c r="F19" s="5"/>
      <c r="G19" s="5"/>
      <c r="H19" s="5"/>
      <c r="I19" s="5"/>
      <c r="J19" s="5"/>
      <c r="K19" s="5"/>
      <c r="L19" s="5"/>
      <c r="M19" s="5"/>
      <c r="N19" s="5"/>
      <c r="O19" s="5"/>
      <c r="P19" s="5"/>
      <c r="Q19" s="5"/>
      <c r="R19" s="5"/>
      <c r="S19" s="5"/>
      <c r="T19" s="5"/>
    </row>
    <row r="20" ht="15.75" customHeight="1">
      <c r="A20" s="5"/>
      <c r="B20" s="5"/>
      <c r="C20" s="5"/>
      <c r="D20" s="5"/>
      <c r="E20" s="5"/>
      <c r="F20" s="5"/>
      <c r="G20" s="5"/>
      <c r="H20" s="5"/>
      <c r="I20" s="5"/>
      <c r="J20" s="5"/>
      <c r="K20" s="5"/>
      <c r="L20" s="5"/>
      <c r="M20" s="5"/>
      <c r="N20" s="5"/>
      <c r="O20" s="5"/>
      <c r="P20" s="5"/>
      <c r="Q20" s="5"/>
      <c r="R20" s="5"/>
      <c r="S20" s="5"/>
      <c r="T20" s="5"/>
    </row>
    <row r="21" ht="15.75" customHeight="1">
      <c r="A21" s="5"/>
      <c r="B21" s="5"/>
      <c r="C21" s="5"/>
      <c r="D21" s="5"/>
      <c r="E21" s="5"/>
      <c r="F21" s="5"/>
      <c r="G21" s="5"/>
      <c r="H21" s="5"/>
      <c r="I21" s="5"/>
      <c r="J21" s="5"/>
      <c r="K21" s="5"/>
      <c r="L21" s="5"/>
      <c r="M21" s="5"/>
      <c r="N21" s="5"/>
      <c r="O21" s="5"/>
      <c r="P21" s="5"/>
      <c r="Q21" s="5"/>
      <c r="R21" s="5"/>
      <c r="S21" s="5"/>
      <c r="T21" s="5"/>
    </row>
    <row r="22" ht="15.75" customHeight="1">
      <c r="A22" s="5"/>
      <c r="B22" s="5"/>
      <c r="C22" s="5"/>
      <c r="D22" s="5"/>
      <c r="E22" s="5"/>
      <c r="F22" s="5"/>
      <c r="G22" s="5"/>
      <c r="H22" s="5"/>
      <c r="I22" s="5"/>
      <c r="J22" s="5"/>
      <c r="K22" s="5"/>
      <c r="L22" s="5"/>
      <c r="M22" s="5"/>
      <c r="N22" s="5"/>
      <c r="O22" s="5"/>
      <c r="P22" s="5"/>
      <c r="Q22" s="5"/>
      <c r="R22" s="5"/>
      <c r="S22" s="5"/>
      <c r="T22" s="5"/>
    </row>
    <row r="23" ht="15.75" customHeight="1">
      <c r="A23" s="5"/>
      <c r="B23" s="5"/>
      <c r="C23" s="5"/>
      <c r="D23" s="5"/>
      <c r="E23" s="5"/>
      <c r="F23" s="5"/>
      <c r="G23" s="5"/>
      <c r="H23" s="5"/>
      <c r="I23" s="5"/>
      <c r="J23" s="5"/>
      <c r="K23" s="5"/>
      <c r="L23" s="5"/>
      <c r="M23" s="5"/>
      <c r="N23" s="5"/>
      <c r="O23" s="5"/>
      <c r="P23" s="5"/>
      <c r="Q23" s="5"/>
      <c r="R23" s="5"/>
      <c r="S23" s="5"/>
      <c r="T23" s="5"/>
    </row>
    <row r="24" ht="15.75" customHeight="1">
      <c r="A24" s="5"/>
      <c r="B24" s="5"/>
      <c r="C24" s="5"/>
      <c r="D24" s="5"/>
      <c r="E24" s="5"/>
      <c r="F24" s="5"/>
      <c r="G24" s="5"/>
      <c r="H24" s="5"/>
      <c r="I24" s="5"/>
      <c r="J24" s="5"/>
      <c r="K24" s="5"/>
      <c r="L24" s="5"/>
      <c r="M24" s="5"/>
      <c r="N24" s="5"/>
      <c r="O24" s="5"/>
      <c r="P24" s="5"/>
      <c r="Q24" s="5"/>
      <c r="R24" s="5"/>
      <c r="S24" s="5"/>
      <c r="T24" s="5"/>
    </row>
    <row r="25" ht="15.75" customHeight="1">
      <c r="A25" s="5"/>
      <c r="B25" s="5"/>
      <c r="C25" s="5"/>
      <c r="D25" s="5"/>
      <c r="E25" s="5"/>
      <c r="F25" s="5"/>
      <c r="G25" s="5"/>
      <c r="H25" s="5"/>
      <c r="I25" s="5"/>
      <c r="J25" s="5"/>
      <c r="K25" s="5"/>
      <c r="L25" s="5"/>
      <c r="M25" s="5"/>
      <c r="N25" s="5"/>
      <c r="O25" s="5"/>
      <c r="P25" s="5"/>
      <c r="Q25" s="5"/>
      <c r="R25" s="5"/>
      <c r="S25" s="5"/>
      <c r="T25" s="5"/>
    </row>
    <row r="26" ht="15.75" customHeight="1">
      <c r="A26" s="5"/>
      <c r="B26" s="5"/>
      <c r="C26" s="5"/>
      <c r="D26" s="5"/>
      <c r="E26" s="5"/>
      <c r="F26" s="5"/>
      <c r="G26" s="5"/>
      <c r="H26" s="5"/>
      <c r="I26" s="5"/>
      <c r="J26" s="5"/>
      <c r="K26" s="5"/>
      <c r="L26" s="5"/>
      <c r="M26" s="5"/>
      <c r="N26" s="5"/>
      <c r="O26" s="5"/>
      <c r="P26" s="5"/>
      <c r="Q26" s="5"/>
      <c r="R26" s="5"/>
      <c r="S26" s="5"/>
      <c r="T26" s="5"/>
    </row>
    <row r="27" ht="15.75" customHeight="1">
      <c r="A27" s="5"/>
      <c r="B27" s="5"/>
      <c r="C27" s="5"/>
      <c r="D27" s="5"/>
      <c r="E27" s="5"/>
      <c r="F27" s="5"/>
      <c r="G27" s="5"/>
      <c r="H27" s="5"/>
      <c r="I27" s="5"/>
      <c r="J27" s="5"/>
      <c r="K27" s="5"/>
      <c r="L27" s="5"/>
      <c r="M27" s="5"/>
      <c r="N27" s="5"/>
      <c r="O27" s="5"/>
      <c r="P27" s="5"/>
      <c r="Q27" s="5"/>
      <c r="R27" s="5"/>
      <c r="S27" s="5"/>
      <c r="T27" s="5"/>
    </row>
    <row r="28" ht="15.75" customHeight="1">
      <c r="A28" s="5"/>
      <c r="B28" s="5"/>
      <c r="C28" s="5"/>
      <c r="D28" s="5"/>
      <c r="E28" s="5"/>
      <c r="F28" s="5"/>
      <c r="G28" s="5"/>
      <c r="H28" s="5"/>
      <c r="I28" s="5"/>
      <c r="J28" s="5"/>
      <c r="K28" s="5"/>
      <c r="L28" s="5"/>
      <c r="M28" s="5"/>
      <c r="N28" s="5"/>
      <c r="O28" s="5"/>
      <c r="P28" s="5"/>
      <c r="Q28" s="5"/>
      <c r="R28" s="5"/>
      <c r="S28" s="5"/>
      <c r="T28" s="5"/>
    </row>
    <row r="29" ht="15.75" customHeight="1">
      <c r="A29" s="5"/>
      <c r="B29" s="5"/>
      <c r="C29" s="5"/>
      <c r="D29" s="5"/>
      <c r="E29" s="5"/>
      <c r="F29" s="5"/>
      <c r="G29" s="5"/>
      <c r="H29" s="5"/>
      <c r="I29" s="5"/>
      <c r="J29" s="5"/>
      <c r="K29" s="5"/>
      <c r="L29" s="5"/>
      <c r="M29" s="5"/>
      <c r="N29" s="5"/>
      <c r="O29" s="5"/>
      <c r="P29" s="5"/>
      <c r="Q29" s="5"/>
      <c r="R29" s="5"/>
      <c r="S29" s="5"/>
      <c r="T29" s="5"/>
    </row>
    <row r="30" ht="15.75" customHeight="1">
      <c r="A30" s="5"/>
      <c r="B30" s="5"/>
      <c r="C30" s="5"/>
      <c r="D30" s="5"/>
      <c r="E30" s="5"/>
      <c r="F30" s="5"/>
      <c r="G30" s="5"/>
      <c r="H30" s="5"/>
      <c r="I30" s="5"/>
      <c r="J30" s="5"/>
      <c r="K30" s="5"/>
      <c r="L30" s="5"/>
      <c r="M30" s="5"/>
      <c r="N30" s="5"/>
      <c r="O30" s="5"/>
      <c r="P30" s="5"/>
      <c r="Q30" s="5"/>
      <c r="R30" s="5"/>
      <c r="S30" s="5"/>
      <c r="T30" s="5"/>
    </row>
    <row r="31" ht="15.75" customHeight="1">
      <c r="A31" s="5"/>
      <c r="B31" s="5"/>
      <c r="C31" s="5"/>
      <c r="D31" s="5"/>
      <c r="E31" s="5"/>
      <c r="F31" s="5"/>
      <c r="G31" s="5"/>
      <c r="H31" s="5"/>
      <c r="I31" s="5"/>
      <c r="J31" s="5"/>
      <c r="K31" s="5"/>
      <c r="L31" s="5"/>
      <c r="M31" s="5"/>
      <c r="N31" s="5"/>
      <c r="O31" s="5"/>
      <c r="P31" s="5"/>
      <c r="Q31" s="5"/>
      <c r="R31" s="5"/>
      <c r="S31" s="5"/>
      <c r="T31" s="5"/>
    </row>
    <row r="32" ht="15.75" customHeight="1">
      <c r="A32" s="5"/>
      <c r="B32" s="5"/>
      <c r="C32" s="5"/>
      <c r="D32" s="5"/>
      <c r="E32" s="5"/>
      <c r="F32" s="5"/>
      <c r="G32" s="5"/>
      <c r="H32" s="5"/>
      <c r="I32" s="5"/>
      <c r="J32" s="5"/>
      <c r="K32" s="5"/>
      <c r="L32" s="5"/>
      <c r="M32" s="5"/>
      <c r="N32" s="5"/>
      <c r="O32" s="5"/>
      <c r="P32" s="5"/>
      <c r="Q32" s="5"/>
      <c r="R32" s="5"/>
      <c r="S32" s="5"/>
      <c r="T32" s="5"/>
    </row>
    <row r="33" ht="15.75" customHeight="1">
      <c r="A33" s="5"/>
      <c r="B33" s="5"/>
      <c r="C33" s="5"/>
      <c r="D33" s="5"/>
      <c r="E33" s="5"/>
      <c r="F33" s="5"/>
      <c r="G33" s="5"/>
      <c r="H33" s="5"/>
      <c r="I33" s="5"/>
      <c r="J33" s="5"/>
      <c r="K33" s="5"/>
      <c r="L33" s="5"/>
      <c r="M33" s="5"/>
      <c r="N33" s="5"/>
      <c r="O33" s="5"/>
      <c r="P33" s="5"/>
      <c r="Q33" s="5"/>
      <c r="R33" s="5"/>
      <c r="S33" s="5"/>
      <c r="T33" s="5"/>
    </row>
    <row r="34" ht="15.75" customHeight="1">
      <c r="A34" s="5"/>
      <c r="B34" s="5"/>
      <c r="C34" s="5"/>
      <c r="D34" s="5"/>
      <c r="E34" s="5"/>
      <c r="F34" s="5"/>
      <c r="G34" s="5"/>
      <c r="H34" s="5"/>
      <c r="I34" s="5"/>
      <c r="J34" s="5"/>
      <c r="K34" s="5"/>
      <c r="L34" s="5"/>
      <c r="M34" s="5"/>
      <c r="N34" s="5"/>
      <c r="O34" s="5"/>
      <c r="P34" s="5"/>
      <c r="Q34" s="5"/>
      <c r="R34" s="5"/>
      <c r="S34" s="5"/>
      <c r="T34" s="5"/>
    </row>
    <row r="35" ht="15.75" customHeight="1">
      <c r="A35" s="5"/>
      <c r="B35" s="5"/>
      <c r="C35" s="5"/>
      <c r="D35" s="5"/>
      <c r="E35" s="5"/>
      <c r="F35" s="5"/>
      <c r="G35" s="5"/>
      <c r="H35" s="5"/>
      <c r="I35" s="5"/>
      <c r="J35" s="5"/>
      <c r="K35" s="5"/>
      <c r="L35" s="5"/>
      <c r="M35" s="5"/>
      <c r="N35" s="5"/>
      <c r="O35" s="5"/>
      <c r="P35" s="5"/>
      <c r="Q35" s="5"/>
      <c r="R35" s="5"/>
      <c r="S35" s="5"/>
      <c r="T35" s="5"/>
    </row>
    <row r="36" ht="15.75" customHeight="1">
      <c r="A36" s="5"/>
      <c r="B36" s="5"/>
      <c r="C36" s="5"/>
      <c r="D36" s="5"/>
      <c r="E36" s="5"/>
      <c r="F36" s="5"/>
      <c r="G36" s="5"/>
      <c r="H36" s="5"/>
      <c r="I36" s="5"/>
      <c r="J36" s="5"/>
      <c r="K36" s="5"/>
      <c r="L36" s="5"/>
      <c r="M36" s="5"/>
      <c r="N36" s="5"/>
      <c r="O36" s="5"/>
      <c r="P36" s="5"/>
      <c r="Q36" s="5"/>
      <c r="R36" s="5"/>
      <c r="S36" s="5"/>
      <c r="T36" s="5"/>
    </row>
    <row r="37" ht="15.75" customHeight="1">
      <c r="A37" s="5"/>
      <c r="B37" s="5"/>
      <c r="C37" s="5"/>
      <c r="D37" s="5"/>
      <c r="E37" s="5"/>
      <c r="F37" s="5"/>
      <c r="G37" s="5"/>
      <c r="H37" s="5"/>
      <c r="I37" s="5"/>
      <c r="J37" s="5"/>
      <c r="K37" s="5"/>
      <c r="L37" s="5"/>
      <c r="M37" s="5"/>
      <c r="N37" s="5"/>
      <c r="O37" s="5"/>
      <c r="P37" s="5"/>
      <c r="Q37" s="5"/>
      <c r="R37" s="5"/>
      <c r="S37" s="5"/>
      <c r="T37" s="5"/>
    </row>
    <row r="38" ht="15.75" customHeight="1">
      <c r="A38" s="5"/>
      <c r="B38" s="5"/>
      <c r="C38" s="5"/>
      <c r="D38" s="5"/>
      <c r="E38" s="5"/>
      <c r="F38" s="5"/>
      <c r="G38" s="5"/>
      <c r="H38" s="5"/>
      <c r="I38" s="5"/>
      <c r="J38" s="5"/>
      <c r="K38" s="5"/>
      <c r="L38" s="5"/>
      <c r="M38" s="5"/>
      <c r="N38" s="5"/>
      <c r="O38" s="5"/>
      <c r="P38" s="5"/>
      <c r="Q38" s="5"/>
      <c r="R38" s="5"/>
      <c r="S38" s="5"/>
      <c r="T38" s="5"/>
    </row>
    <row r="39" ht="15.75" customHeight="1">
      <c r="A39" s="5"/>
      <c r="B39" s="5"/>
      <c r="C39" s="5"/>
      <c r="D39" s="5"/>
      <c r="E39" s="5"/>
      <c r="F39" s="5"/>
      <c r="G39" s="5"/>
      <c r="H39" s="5"/>
      <c r="I39" s="5"/>
      <c r="J39" s="5"/>
      <c r="K39" s="5"/>
      <c r="L39" s="5"/>
      <c r="M39" s="5"/>
      <c r="N39" s="5"/>
      <c r="O39" s="5"/>
      <c r="P39" s="5"/>
      <c r="Q39" s="5"/>
      <c r="R39" s="5"/>
      <c r="S39" s="5"/>
      <c r="T39" s="5"/>
    </row>
    <row r="40" ht="15.75" customHeight="1">
      <c r="A40" s="5"/>
      <c r="B40" s="5"/>
      <c r="C40" s="5"/>
      <c r="D40" s="5"/>
      <c r="E40" s="5"/>
      <c r="F40" s="5"/>
      <c r="G40" s="5"/>
      <c r="H40" s="5"/>
      <c r="I40" s="5"/>
      <c r="J40" s="5"/>
      <c r="K40" s="5"/>
      <c r="L40" s="5"/>
      <c r="M40" s="5"/>
      <c r="N40" s="5"/>
      <c r="O40" s="5"/>
      <c r="P40" s="5"/>
      <c r="Q40" s="5"/>
      <c r="R40" s="5"/>
      <c r="S40" s="5"/>
      <c r="T40" s="5"/>
    </row>
    <row r="41" ht="15.75" customHeight="1">
      <c r="A41" s="5"/>
      <c r="B41" s="5"/>
      <c r="C41" s="5"/>
      <c r="D41" s="5"/>
      <c r="E41" s="5"/>
      <c r="F41" s="5"/>
      <c r="G41" s="5"/>
      <c r="H41" s="5"/>
      <c r="I41" s="5"/>
      <c r="J41" s="5"/>
      <c r="K41" s="5"/>
      <c r="L41" s="5"/>
      <c r="M41" s="5"/>
      <c r="N41" s="5"/>
      <c r="O41" s="5"/>
      <c r="P41" s="5"/>
      <c r="Q41" s="5"/>
      <c r="R41" s="5"/>
      <c r="S41" s="5"/>
      <c r="T41" s="5"/>
    </row>
    <row r="42" ht="15.75" customHeight="1">
      <c r="A42" s="5"/>
      <c r="B42" s="5"/>
      <c r="C42" s="5"/>
      <c r="D42" s="5"/>
      <c r="E42" s="5"/>
      <c r="F42" s="5"/>
      <c r="G42" s="5"/>
      <c r="H42" s="5"/>
      <c r="I42" s="5"/>
      <c r="J42" s="5"/>
      <c r="K42" s="5"/>
      <c r="L42" s="5"/>
      <c r="M42" s="5"/>
      <c r="N42" s="5"/>
      <c r="O42" s="5"/>
      <c r="P42" s="5"/>
      <c r="Q42" s="5"/>
      <c r="R42" s="5"/>
      <c r="S42" s="5"/>
      <c r="T42" s="5"/>
    </row>
    <row r="43" ht="15.75" customHeight="1">
      <c r="A43" s="5"/>
      <c r="B43" s="5"/>
      <c r="C43" s="5"/>
      <c r="D43" s="5"/>
      <c r="E43" s="5"/>
      <c r="F43" s="5"/>
      <c r="G43" s="5"/>
      <c r="H43" s="5"/>
      <c r="I43" s="5"/>
      <c r="J43" s="5"/>
      <c r="K43" s="5"/>
      <c r="L43" s="5"/>
      <c r="M43" s="5"/>
      <c r="N43" s="5"/>
      <c r="O43" s="5"/>
      <c r="P43" s="5"/>
      <c r="Q43" s="5"/>
      <c r="R43" s="5"/>
      <c r="S43" s="5"/>
      <c r="T43" s="5"/>
    </row>
    <row r="44" ht="15.75" customHeight="1">
      <c r="A44" s="5"/>
      <c r="B44" s="5"/>
      <c r="C44" s="5"/>
      <c r="D44" s="5"/>
      <c r="E44" s="5"/>
      <c r="F44" s="5"/>
      <c r="G44" s="5"/>
      <c r="H44" s="5"/>
      <c r="I44" s="5"/>
      <c r="J44" s="5"/>
      <c r="K44" s="5"/>
      <c r="L44" s="5"/>
      <c r="M44" s="5"/>
      <c r="N44" s="5"/>
      <c r="O44" s="5"/>
      <c r="P44" s="5"/>
      <c r="Q44" s="5"/>
      <c r="R44" s="5"/>
      <c r="S44" s="5"/>
      <c r="T44" s="5"/>
    </row>
    <row r="45" ht="15.75" customHeight="1">
      <c r="A45" s="5"/>
      <c r="B45" s="5"/>
      <c r="C45" s="5"/>
      <c r="D45" s="5"/>
      <c r="E45" s="5"/>
      <c r="F45" s="5"/>
      <c r="G45" s="5"/>
      <c r="H45" s="5"/>
      <c r="I45" s="5"/>
      <c r="J45" s="5"/>
      <c r="K45" s="5"/>
      <c r="L45" s="5"/>
      <c r="M45" s="5"/>
      <c r="N45" s="5"/>
      <c r="O45" s="5"/>
      <c r="P45" s="5"/>
      <c r="Q45" s="5"/>
      <c r="R45" s="5"/>
      <c r="S45" s="5"/>
      <c r="T45" s="5"/>
    </row>
    <row r="46" ht="15.75" customHeight="1">
      <c r="A46" s="5"/>
      <c r="B46" s="5"/>
      <c r="C46" s="5"/>
      <c r="D46" s="5"/>
      <c r="E46" s="5"/>
      <c r="F46" s="5"/>
      <c r="G46" s="5"/>
      <c r="H46" s="5"/>
      <c r="I46" s="5"/>
      <c r="J46" s="5"/>
      <c r="K46" s="5"/>
      <c r="L46" s="5"/>
      <c r="M46" s="5"/>
      <c r="N46" s="5"/>
      <c r="O46" s="5"/>
      <c r="P46" s="5"/>
      <c r="Q46" s="5"/>
      <c r="R46" s="5"/>
      <c r="S46" s="5"/>
      <c r="T46" s="5"/>
    </row>
    <row r="47" ht="15.75" customHeight="1">
      <c r="A47" s="5"/>
      <c r="B47" s="5"/>
      <c r="C47" s="5"/>
      <c r="D47" s="5"/>
      <c r="E47" s="5"/>
      <c r="F47" s="5"/>
      <c r="G47" s="5"/>
      <c r="H47" s="5"/>
      <c r="I47" s="5"/>
      <c r="J47" s="5"/>
      <c r="K47" s="5"/>
      <c r="L47" s="5"/>
      <c r="M47" s="5"/>
      <c r="N47" s="5"/>
      <c r="O47" s="5"/>
      <c r="P47" s="5"/>
      <c r="Q47" s="5"/>
      <c r="R47" s="5"/>
      <c r="S47" s="5"/>
      <c r="T47" s="5"/>
    </row>
    <row r="48" ht="15.75" customHeight="1">
      <c r="A48" s="5"/>
      <c r="B48" s="5"/>
      <c r="C48" s="5"/>
      <c r="D48" s="5"/>
      <c r="E48" s="5"/>
      <c r="F48" s="5"/>
      <c r="G48" s="5"/>
      <c r="H48" s="5"/>
      <c r="I48" s="5"/>
      <c r="J48" s="5"/>
      <c r="K48" s="5"/>
      <c r="L48" s="5"/>
      <c r="M48" s="5"/>
      <c r="N48" s="5"/>
      <c r="O48" s="5"/>
      <c r="P48" s="5"/>
      <c r="Q48" s="5"/>
      <c r="R48" s="5"/>
      <c r="S48" s="5"/>
      <c r="T48" s="5"/>
    </row>
    <row r="49" ht="15.75" customHeight="1">
      <c r="A49" s="5"/>
      <c r="B49" s="5"/>
      <c r="C49" s="5"/>
      <c r="D49" s="5"/>
      <c r="E49" s="5"/>
      <c r="F49" s="5"/>
      <c r="G49" s="5"/>
      <c r="H49" s="5"/>
      <c r="I49" s="5"/>
      <c r="J49" s="5"/>
      <c r="K49" s="5"/>
      <c r="L49" s="5"/>
      <c r="M49" s="5"/>
      <c r="N49" s="5"/>
      <c r="O49" s="5"/>
      <c r="P49" s="5"/>
      <c r="Q49" s="5"/>
      <c r="R49" s="5"/>
      <c r="S49" s="5"/>
      <c r="T49" s="5"/>
    </row>
    <row r="50" ht="15.75" customHeight="1">
      <c r="A50" s="5"/>
      <c r="B50" s="5"/>
      <c r="C50" s="5"/>
      <c r="D50" s="5"/>
      <c r="E50" s="5"/>
      <c r="F50" s="5"/>
      <c r="G50" s="5"/>
      <c r="H50" s="5"/>
      <c r="I50" s="5"/>
      <c r="J50" s="5"/>
      <c r="K50" s="5"/>
      <c r="L50" s="5"/>
      <c r="M50" s="5"/>
      <c r="N50" s="5"/>
      <c r="O50" s="5"/>
      <c r="P50" s="5"/>
      <c r="Q50" s="5"/>
      <c r="R50" s="5"/>
      <c r="S50" s="5"/>
      <c r="T50" s="5"/>
    </row>
    <row r="51" ht="15.75" customHeight="1">
      <c r="A51" s="5"/>
      <c r="B51" s="5"/>
      <c r="C51" s="5"/>
      <c r="D51" s="5"/>
      <c r="E51" s="5"/>
      <c r="F51" s="5"/>
      <c r="G51" s="5"/>
      <c r="H51" s="5"/>
      <c r="I51" s="5"/>
      <c r="J51" s="5"/>
      <c r="K51" s="5"/>
      <c r="L51" s="5"/>
      <c r="M51" s="5"/>
      <c r="N51" s="5"/>
      <c r="O51" s="5"/>
      <c r="P51" s="5"/>
      <c r="Q51" s="5"/>
      <c r="R51" s="5"/>
      <c r="S51" s="5"/>
      <c r="T51" s="5"/>
    </row>
    <row r="52" ht="15.75" customHeight="1">
      <c r="A52" s="5"/>
      <c r="B52" s="5"/>
      <c r="C52" s="5"/>
      <c r="D52" s="5"/>
      <c r="E52" s="5"/>
      <c r="F52" s="5"/>
      <c r="G52" s="5"/>
      <c r="H52" s="5"/>
      <c r="I52" s="5"/>
      <c r="J52" s="5"/>
      <c r="K52" s="5"/>
      <c r="L52" s="5"/>
      <c r="M52" s="5"/>
      <c r="N52" s="5"/>
      <c r="O52" s="5"/>
      <c r="P52" s="5"/>
      <c r="Q52" s="5"/>
      <c r="R52" s="5"/>
      <c r="S52" s="5"/>
      <c r="T52" s="5"/>
    </row>
    <row r="53" ht="15.75" customHeight="1">
      <c r="A53" s="5"/>
      <c r="B53" s="5"/>
      <c r="C53" s="5"/>
      <c r="D53" s="5"/>
      <c r="E53" s="5"/>
      <c r="F53" s="5"/>
      <c r="G53" s="5"/>
      <c r="H53" s="5"/>
      <c r="I53" s="5"/>
      <c r="J53" s="5"/>
      <c r="K53" s="5"/>
      <c r="L53" s="5"/>
      <c r="M53" s="5"/>
      <c r="N53" s="5"/>
      <c r="O53" s="5"/>
      <c r="P53" s="5"/>
      <c r="Q53" s="5"/>
      <c r="R53" s="5"/>
      <c r="S53" s="5"/>
      <c r="T53" s="5"/>
    </row>
    <row r="54" ht="15.75" customHeight="1">
      <c r="A54" s="5"/>
      <c r="B54" s="5"/>
      <c r="C54" s="5"/>
      <c r="D54" s="5"/>
      <c r="E54" s="5"/>
      <c r="F54" s="5"/>
      <c r="G54" s="5"/>
      <c r="H54" s="5"/>
      <c r="I54" s="5"/>
      <c r="J54" s="5"/>
      <c r="K54" s="5"/>
      <c r="L54" s="5"/>
      <c r="M54" s="5"/>
      <c r="N54" s="5"/>
      <c r="O54" s="5"/>
      <c r="P54" s="5"/>
      <c r="Q54" s="5"/>
      <c r="R54" s="5"/>
      <c r="S54" s="5"/>
      <c r="T54" s="5"/>
    </row>
    <row r="55" ht="15.75" customHeight="1">
      <c r="A55" s="5"/>
      <c r="B55" s="5"/>
      <c r="C55" s="5"/>
      <c r="D55" s="5"/>
      <c r="E55" s="5"/>
      <c r="F55" s="5"/>
      <c r="G55" s="5"/>
      <c r="H55" s="5"/>
      <c r="I55" s="5"/>
      <c r="J55" s="5"/>
      <c r="K55" s="5"/>
      <c r="L55" s="5"/>
      <c r="M55" s="5"/>
      <c r="N55" s="5"/>
      <c r="O55" s="5"/>
      <c r="P55" s="5"/>
      <c r="Q55" s="5"/>
      <c r="R55" s="5"/>
      <c r="S55" s="5"/>
      <c r="T55" s="5"/>
    </row>
    <row r="56" ht="15.75" customHeight="1">
      <c r="A56" s="5"/>
      <c r="B56" s="5"/>
      <c r="C56" s="5"/>
      <c r="D56" s="5"/>
      <c r="E56" s="5"/>
      <c r="F56" s="5"/>
      <c r="G56" s="5"/>
      <c r="H56" s="5"/>
      <c r="I56" s="5"/>
      <c r="J56" s="5"/>
      <c r="K56" s="5"/>
      <c r="L56" s="5"/>
      <c r="M56" s="5"/>
      <c r="N56" s="5"/>
      <c r="O56" s="5"/>
      <c r="P56" s="5"/>
      <c r="Q56" s="5"/>
      <c r="R56" s="5"/>
      <c r="S56" s="5"/>
      <c r="T56" s="5"/>
    </row>
    <row r="57" ht="15.75" customHeight="1">
      <c r="A57" s="5"/>
      <c r="B57" s="5"/>
      <c r="C57" s="5"/>
      <c r="D57" s="5"/>
      <c r="E57" s="5"/>
      <c r="F57" s="5"/>
      <c r="G57" s="5"/>
      <c r="H57" s="5"/>
      <c r="I57" s="5"/>
      <c r="J57" s="5"/>
      <c r="K57" s="5"/>
      <c r="L57" s="5"/>
      <c r="M57" s="5"/>
      <c r="N57" s="5"/>
      <c r="O57" s="5"/>
      <c r="P57" s="5"/>
      <c r="Q57" s="5"/>
      <c r="R57" s="5"/>
      <c r="S57" s="5"/>
      <c r="T57" s="5"/>
    </row>
    <row r="58" ht="15.75" customHeight="1">
      <c r="A58" s="5"/>
      <c r="B58" s="5"/>
      <c r="C58" s="5"/>
      <c r="D58" s="5"/>
      <c r="E58" s="5"/>
      <c r="F58" s="5"/>
      <c r="G58" s="5"/>
      <c r="H58" s="5"/>
      <c r="I58" s="5"/>
      <c r="J58" s="5"/>
      <c r="K58" s="5"/>
      <c r="L58" s="5"/>
      <c r="M58" s="5"/>
      <c r="N58" s="5"/>
      <c r="O58" s="5"/>
      <c r="P58" s="5"/>
      <c r="Q58" s="5"/>
      <c r="R58" s="5"/>
      <c r="S58" s="5"/>
      <c r="T58" s="5"/>
    </row>
    <row r="59" ht="15.75" customHeight="1">
      <c r="A59" s="5"/>
      <c r="B59" s="5"/>
      <c r="C59" s="5"/>
      <c r="D59" s="5"/>
      <c r="E59" s="5"/>
      <c r="F59" s="5"/>
      <c r="G59" s="5"/>
      <c r="H59" s="5"/>
      <c r="I59" s="5"/>
      <c r="J59" s="5"/>
      <c r="K59" s="5"/>
      <c r="L59" s="5"/>
      <c r="M59" s="5"/>
      <c r="N59" s="5"/>
      <c r="O59" s="5"/>
      <c r="P59" s="5"/>
      <c r="Q59" s="5"/>
      <c r="R59" s="5"/>
      <c r="S59" s="5"/>
      <c r="T59" s="5"/>
    </row>
    <row r="60" ht="15.75" customHeight="1">
      <c r="A60" s="5"/>
      <c r="B60" s="5"/>
      <c r="C60" s="5"/>
      <c r="D60" s="5"/>
      <c r="E60" s="5"/>
      <c r="F60" s="5"/>
      <c r="G60" s="5"/>
      <c r="H60" s="5"/>
      <c r="I60" s="5"/>
      <c r="J60" s="5"/>
      <c r="K60" s="5"/>
      <c r="L60" s="5"/>
      <c r="M60" s="5"/>
      <c r="N60" s="5"/>
      <c r="O60" s="5"/>
      <c r="P60" s="5"/>
      <c r="Q60" s="5"/>
      <c r="R60" s="5"/>
      <c r="S60" s="5"/>
      <c r="T60" s="5"/>
    </row>
    <row r="61" ht="15.75" customHeight="1">
      <c r="A61" s="5"/>
      <c r="B61" s="5"/>
      <c r="C61" s="5"/>
      <c r="D61" s="5"/>
      <c r="E61" s="5"/>
      <c r="F61" s="5"/>
      <c r="G61" s="5"/>
      <c r="H61" s="5"/>
      <c r="I61" s="5"/>
      <c r="J61" s="5"/>
      <c r="K61" s="5"/>
      <c r="L61" s="5"/>
      <c r="M61" s="5"/>
      <c r="N61" s="5"/>
      <c r="O61" s="5"/>
      <c r="P61" s="5"/>
      <c r="Q61" s="5"/>
      <c r="R61" s="5"/>
      <c r="S61" s="5"/>
      <c r="T61" s="5"/>
    </row>
    <row r="62" ht="15.75" customHeight="1">
      <c r="A62" s="5"/>
      <c r="B62" s="5"/>
      <c r="C62" s="5"/>
      <c r="D62" s="5"/>
      <c r="E62" s="5"/>
      <c r="F62" s="5"/>
      <c r="G62" s="5"/>
      <c r="H62" s="5"/>
      <c r="I62" s="5"/>
      <c r="J62" s="5"/>
      <c r="K62" s="5"/>
      <c r="L62" s="5"/>
      <c r="M62" s="5"/>
      <c r="N62" s="5"/>
      <c r="O62" s="5"/>
      <c r="P62" s="5"/>
      <c r="Q62" s="5"/>
      <c r="R62" s="5"/>
      <c r="S62" s="5"/>
      <c r="T62" s="5"/>
    </row>
    <row r="63" ht="15.75" customHeight="1">
      <c r="A63" s="5"/>
      <c r="B63" s="5"/>
      <c r="C63" s="5"/>
      <c r="D63" s="5"/>
      <c r="E63" s="5"/>
      <c r="F63" s="5"/>
      <c r="G63" s="5"/>
      <c r="H63" s="5"/>
      <c r="I63" s="5"/>
      <c r="J63" s="5"/>
      <c r="K63" s="5"/>
      <c r="L63" s="5"/>
      <c r="M63" s="5"/>
      <c r="N63" s="5"/>
      <c r="O63" s="5"/>
      <c r="P63" s="5"/>
      <c r="Q63" s="5"/>
      <c r="R63" s="5"/>
      <c r="S63" s="5"/>
      <c r="T63" s="5"/>
    </row>
    <row r="64" ht="15.75" customHeight="1">
      <c r="A64" s="5"/>
      <c r="B64" s="5"/>
      <c r="C64" s="5"/>
      <c r="D64" s="5"/>
      <c r="E64" s="5"/>
      <c r="F64" s="5"/>
      <c r="G64" s="5"/>
      <c r="H64" s="5"/>
      <c r="I64" s="5"/>
      <c r="J64" s="5"/>
      <c r="K64" s="5"/>
      <c r="L64" s="5"/>
      <c r="M64" s="5"/>
      <c r="N64" s="5"/>
      <c r="O64" s="5"/>
      <c r="P64" s="5"/>
      <c r="Q64" s="5"/>
      <c r="R64" s="5"/>
      <c r="S64" s="5"/>
      <c r="T64" s="5"/>
    </row>
    <row r="65" ht="15.75" customHeight="1">
      <c r="A65" s="5"/>
      <c r="B65" s="5"/>
      <c r="C65" s="5"/>
      <c r="D65" s="5"/>
      <c r="E65" s="5"/>
      <c r="F65" s="5"/>
      <c r="G65" s="5"/>
      <c r="H65" s="5"/>
      <c r="I65" s="5"/>
      <c r="J65" s="5"/>
      <c r="K65" s="5"/>
      <c r="L65" s="5"/>
      <c r="M65" s="5"/>
      <c r="N65" s="5"/>
      <c r="O65" s="5"/>
      <c r="P65" s="5"/>
      <c r="Q65" s="5"/>
      <c r="R65" s="5"/>
      <c r="S65" s="5"/>
      <c r="T65" s="5"/>
    </row>
    <row r="66" ht="15.75" customHeight="1">
      <c r="A66" s="5"/>
      <c r="B66" s="5"/>
      <c r="C66" s="5"/>
      <c r="D66" s="5"/>
      <c r="E66" s="5"/>
      <c r="F66" s="5"/>
      <c r="G66" s="5"/>
      <c r="H66" s="5"/>
      <c r="I66" s="5"/>
      <c r="J66" s="5"/>
      <c r="K66" s="5"/>
      <c r="L66" s="5"/>
      <c r="M66" s="5"/>
      <c r="N66" s="5"/>
      <c r="O66" s="5"/>
      <c r="P66" s="5"/>
      <c r="Q66" s="5"/>
      <c r="R66" s="5"/>
      <c r="S66" s="5"/>
      <c r="T66" s="5"/>
    </row>
    <row r="67" ht="15.75" customHeight="1">
      <c r="A67" s="5"/>
      <c r="B67" s="5"/>
      <c r="C67" s="5"/>
      <c r="D67" s="5"/>
      <c r="E67" s="5"/>
      <c r="F67" s="5"/>
      <c r="G67" s="5"/>
      <c r="H67" s="5"/>
      <c r="I67" s="5"/>
      <c r="J67" s="5"/>
      <c r="K67" s="5"/>
      <c r="L67" s="5"/>
      <c r="M67" s="5"/>
      <c r="N67" s="5"/>
      <c r="O67" s="5"/>
      <c r="P67" s="5"/>
      <c r="Q67" s="5"/>
      <c r="R67" s="5"/>
      <c r="S67" s="5"/>
      <c r="T67" s="5"/>
    </row>
    <row r="68" ht="15.75" customHeight="1">
      <c r="A68" s="5"/>
      <c r="B68" s="5"/>
      <c r="C68" s="5"/>
      <c r="D68" s="5"/>
      <c r="E68" s="5"/>
      <c r="F68" s="5"/>
      <c r="G68" s="5"/>
      <c r="H68" s="5"/>
      <c r="I68" s="5"/>
      <c r="J68" s="5"/>
      <c r="K68" s="5"/>
      <c r="L68" s="5"/>
      <c r="M68" s="5"/>
      <c r="N68" s="5"/>
      <c r="O68" s="5"/>
      <c r="P68" s="5"/>
      <c r="Q68" s="5"/>
      <c r="R68" s="5"/>
      <c r="S68" s="5"/>
      <c r="T68" s="5"/>
    </row>
    <row r="69" ht="15.75" customHeight="1">
      <c r="A69" s="5"/>
      <c r="B69" s="5"/>
      <c r="C69" s="5"/>
      <c r="D69" s="5"/>
      <c r="E69" s="5"/>
      <c r="F69" s="5"/>
      <c r="G69" s="5"/>
      <c r="H69" s="5"/>
      <c r="I69" s="5"/>
      <c r="J69" s="5"/>
      <c r="K69" s="5"/>
      <c r="L69" s="5"/>
      <c r="M69" s="5"/>
      <c r="N69" s="5"/>
      <c r="O69" s="5"/>
      <c r="P69" s="5"/>
      <c r="Q69" s="5"/>
      <c r="R69" s="5"/>
      <c r="S69" s="5"/>
      <c r="T69" s="5"/>
    </row>
    <row r="70" ht="15.75" customHeight="1">
      <c r="A70" s="5"/>
      <c r="B70" s="5"/>
      <c r="C70" s="5"/>
      <c r="D70" s="5"/>
      <c r="E70" s="5"/>
      <c r="F70" s="5"/>
      <c r="G70" s="5"/>
      <c r="H70" s="5"/>
      <c r="I70" s="5"/>
      <c r="J70" s="5"/>
      <c r="K70" s="5"/>
      <c r="L70" s="5"/>
      <c r="M70" s="5"/>
      <c r="N70" s="5"/>
      <c r="O70" s="5"/>
      <c r="P70" s="5"/>
      <c r="Q70" s="5"/>
      <c r="R70" s="5"/>
      <c r="S70" s="5"/>
      <c r="T70" s="5"/>
    </row>
    <row r="71" ht="15.75" customHeight="1">
      <c r="A71" s="5"/>
      <c r="B71" s="5"/>
      <c r="C71" s="5"/>
      <c r="D71" s="5"/>
      <c r="E71" s="5"/>
      <c r="F71" s="5"/>
      <c r="G71" s="5"/>
      <c r="H71" s="5"/>
      <c r="I71" s="5"/>
      <c r="J71" s="5"/>
      <c r="K71" s="5"/>
      <c r="L71" s="5"/>
      <c r="M71" s="5"/>
      <c r="N71" s="5"/>
      <c r="O71" s="5"/>
      <c r="P71" s="5"/>
      <c r="Q71" s="5"/>
      <c r="R71" s="5"/>
      <c r="S71" s="5"/>
      <c r="T71" s="5"/>
    </row>
    <row r="72" ht="15.75" customHeight="1">
      <c r="A72" s="5"/>
      <c r="B72" s="5"/>
      <c r="C72" s="5"/>
      <c r="D72" s="5"/>
      <c r="E72" s="5"/>
      <c r="F72" s="5"/>
      <c r="G72" s="5"/>
      <c r="H72" s="5"/>
      <c r="I72" s="5"/>
      <c r="J72" s="5"/>
      <c r="K72" s="5"/>
      <c r="L72" s="5"/>
      <c r="M72" s="5"/>
      <c r="N72" s="5"/>
      <c r="O72" s="5"/>
      <c r="P72" s="5"/>
      <c r="Q72" s="5"/>
      <c r="R72" s="5"/>
      <c r="S72" s="5"/>
      <c r="T72" s="5"/>
    </row>
    <row r="73" ht="15.75" customHeight="1">
      <c r="A73" s="5"/>
      <c r="B73" s="5"/>
      <c r="C73" s="5"/>
      <c r="D73" s="5"/>
      <c r="E73" s="5"/>
      <c r="F73" s="5"/>
      <c r="G73" s="5"/>
      <c r="H73" s="5"/>
      <c r="I73" s="5"/>
      <c r="J73" s="5"/>
      <c r="K73" s="5"/>
      <c r="L73" s="5"/>
      <c r="M73" s="5"/>
      <c r="N73" s="5"/>
      <c r="O73" s="5"/>
      <c r="P73" s="5"/>
      <c r="Q73" s="5"/>
      <c r="R73" s="5"/>
      <c r="S73" s="5"/>
      <c r="T73" s="5"/>
    </row>
    <row r="74" ht="15.75" customHeight="1">
      <c r="A74" s="5"/>
      <c r="B74" s="5"/>
      <c r="C74" s="5"/>
      <c r="D74" s="5"/>
      <c r="E74" s="5"/>
      <c r="F74" s="5"/>
      <c r="G74" s="5"/>
      <c r="H74" s="5"/>
      <c r="I74" s="5"/>
      <c r="J74" s="5"/>
      <c r="K74" s="5"/>
      <c r="L74" s="5"/>
      <c r="M74" s="5"/>
      <c r="N74" s="5"/>
      <c r="O74" s="5"/>
      <c r="P74" s="5"/>
      <c r="Q74" s="5"/>
      <c r="R74" s="5"/>
      <c r="S74" s="5"/>
      <c r="T74" s="5"/>
    </row>
    <row r="75" ht="15.75" customHeight="1">
      <c r="A75" s="5"/>
      <c r="B75" s="5"/>
      <c r="C75" s="5"/>
      <c r="D75" s="5"/>
      <c r="E75" s="5"/>
      <c r="F75" s="5"/>
      <c r="G75" s="5"/>
      <c r="H75" s="5"/>
      <c r="I75" s="5"/>
      <c r="J75" s="5"/>
      <c r="K75" s="5"/>
      <c r="L75" s="5"/>
      <c r="M75" s="5"/>
      <c r="N75" s="5"/>
      <c r="O75" s="5"/>
      <c r="P75" s="5"/>
      <c r="Q75" s="5"/>
      <c r="R75" s="5"/>
      <c r="S75" s="5"/>
      <c r="T75" s="5"/>
    </row>
    <row r="76" ht="15.75" customHeight="1">
      <c r="A76" s="5"/>
      <c r="B76" s="5"/>
      <c r="C76" s="5"/>
      <c r="D76" s="5"/>
      <c r="E76" s="5"/>
      <c r="F76" s="5"/>
      <c r="G76" s="5"/>
      <c r="H76" s="5"/>
      <c r="I76" s="5"/>
      <c r="J76" s="5"/>
      <c r="K76" s="5"/>
      <c r="L76" s="5"/>
      <c r="M76" s="5"/>
      <c r="N76" s="5"/>
      <c r="O76" s="5"/>
      <c r="P76" s="5"/>
      <c r="Q76" s="5"/>
      <c r="R76" s="5"/>
      <c r="S76" s="5"/>
      <c r="T76" s="5"/>
    </row>
    <row r="77" ht="15.75" customHeight="1">
      <c r="A77" s="5"/>
      <c r="B77" s="5"/>
      <c r="C77" s="5"/>
      <c r="D77" s="5"/>
      <c r="E77" s="5"/>
      <c r="F77" s="5"/>
      <c r="G77" s="5"/>
      <c r="H77" s="5"/>
      <c r="I77" s="5"/>
      <c r="J77" s="5"/>
      <c r="K77" s="5"/>
      <c r="L77" s="5"/>
      <c r="M77" s="5"/>
      <c r="N77" s="5"/>
      <c r="O77" s="5"/>
      <c r="P77" s="5"/>
      <c r="Q77" s="5"/>
      <c r="R77" s="5"/>
      <c r="S77" s="5"/>
      <c r="T77" s="5"/>
    </row>
    <row r="78" ht="15.75" customHeight="1">
      <c r="A78" s="5"/>
      <c r="B78" s="5"/>
      <c r="C78" s="5"/>
      <c r="D78" s="5"/>
      <c r="E78" s="5"/>
      <c r="F78" s="5"/>
      <c r="G78" s="5"/>
      <c r="H78" s="5"/>
      <c r="I78" s="5"/>
      <c r="J78" s="5"/>
      <c r="K78" s="5"/>
      <c r="L78" s="5"/>
      <c r="M78" s="5"/>
      <c r="N78" s="5"/>
      <c r="O78" s="5"/>
      <c r="P78" s="5"/>
      <c r="Q78" s="5"/>
      <c r="R78" s="5"/>
      <c r="S78" s="5"/>
      <c r="T78" s="5"/>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mergeCells count="1">
    <mergeCell ref="M1:R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5"/>
    <col customWidth="1" min="3" max="6" width="12.63"/>
  </cols>
  <sheetData>
    <row r="1" ht="15.75" customHeight="1">
      <c r="A1" s="17" t="s">
        <v>157</v>
      </c>
      <c r="B1" s="18"/>
      <c r="C1" s="18"/>
      <c r="D1" s="18"/>
      <c r="E1" s="18"/>
      <c r="F1" s="18"/>
      <c r="G1" s="18"/>
      <c r="H1" s="18"/>
      <c r="I1" s="18"/>
      <c r="J1" s="18"/>
      <c r="K1" s="19"/>
    </row>
    <row r="2" ht="15.75" customHeight="1">
      <c r="A2" s="20" t="s">
        <v>158</v>
      </c>
      <c r="B2" s="21"/>
      <c r="C2" s="22" t="s">
        <v>159</v>
      </c>
      <c r="D2" s="4"/>
      <c r="E2" s="21"/>
      <c r="F2" s="23" t="s">
        <v>160</v>
      </c>
      <c r="G2" s="21"/>
      <c r="H2" s="22">
        <v>2.31273E7</v>
      </c>
      <c r="I2" s="4"/>
      <c r="J2" s="4"/>
      <c r="K2" s="21"/>
    </row>
    <row r="3" ht="15.75" customHeight="1">
      <c r="A3" s="20" t="s">
        <v>161</v>
      </c>
      <c r="B3" s="21"/>
      <c r="C3" s="22">
        <v>2.31273E7</v>
      </c>
      <c r="D3" s="4"/>
      <c r="E3" s="21"/>
      <c r="F3" s="23" t="s">
        <v>162</v>
      </c>
      <c r="G3" s="21"/>
      <c r="H3" s="22">
        <v>2.31273E7</v>
      </c>
      <c r="I3" s="4"/>
      <c r="J3" s="4"/>
      <c r="K3" s="21"/>
    </row>
    <row r="4" ht="15.75" customHeight="1">
      <c r="A4" s="24" t="s">
        <v>163</v>
      </c>
      <c r="B4" s="21"/>
      <c r="C4" s="25"/>
      <c r="D4" s="4"/>
      <c r="E4" s="4"/>
      <c r="F4" s="4"/>
      <c r="G4" s="4"/>
      <c r="H4" s="4"/>
      <c r="I4" s="4"/>
      <c r="J4" s="4"/>
      <c r="K4" s="21"/>
    </row>
    <row r="5" ht="15.75" customHeight="1">
      <c r="A5" s="26"/>
      <c r="B5" s="27" t="s">
        <v>164</v>
      </c>
      <c r="C5" s="28">
        <f>D10/J10</f>
        <v>1</v>
      </c>
      <c r="D5" s="26"/>
      <c r="E5" s="26"/>
      <c r="F5" s="26"/>
      <c r="G5" s="26"/>
      <c r="H5" s="26"/>
      <c r="I5" s="26"/>
      <c r="J5" s="26"/>
      <c r="K5" s="26"/>
    </row>
    <row r="6" ht="15.75" customHeight="1">
      <c r="A6" s="26"/>
      <c r="B6" s="29" t="s">
        <v>165</v>
      </c>
      <c r="C6" s="28">
        <f>E10/J10</f>
        <v>0.8666666667</v>
      </c>
      <c r="D6" s="26"/>
      <c r="E6" s="26"/>
      <c r="F6" s="26"/>
      <c r="G6" s="26"/>
      <c r="H6" s="26"/>
      <c r="I6" s="26"/>
      <c r="J6" s="30" t="s">
        <v>166</v>
      </c>
      <c r="K6" s="31">
        <v>46180.0</v>
      </c>
      <c r="L6" s="32"/>
    </row>
    <row r="7" ht="15.75" customHeight="1">
      <c r="A7" s="26"/>
      <c r="B7" s="33"/>
      <c r="C7" s="26"/>
      <c r="D7" s="26"/>
      <c r="E7" s="26"/>
      <c r="F7" s="26"/>
      <c r="G7" s="26"/>
      <c r="H7" s="26"/>
      <c r="I7" s="26"/>
      <c r="J7" s="26"/>
      <c r="K7" s="26"/>
    </row>
    <row r="8" ht="15.75" customHeight="1">
      <c r="A8" s="6" t="s">
        <v>82</v>
      </c>
      <c r="B8" s="6" t="s">
        <v>167</v>
      </c>
      <c r="C8" s="6" t="s">
        <v>168</v>
      </c>
      <c r="D8" s="6" t="s">
        <v>169</v>
      </c>
      <c r="E8" s="6" t="s">
        <v>32</v>
      </c>
      <c r="F8" s="6" t="s">
        <v>84</v>
      </c>
      <c r="G8" s="6" t="s">
        <v>170</v>
      </c>
      <c r="H8" s="6" t="s">
        <v>171</v>
      </c>
      <c r="I8" s="6" t="s">
        <v>172</v>
      </c>
      <c r="J8" s="6" t="s">
        <v>173</v>
      </c>
      <c r="K8" s="6" t="s">
        <v>174</v>
      </c>
    </row>
    <row r="9" ht="15.75" customHeight="1">
      <c r="A9" s="34">
        <v>3.0</v>
      </c>
      <c r="B9" s="35" t="s">
        <v>175</v>
      </c>
      <c r="C9" s="36" t="s">
        <v>22</v>
      </c>
      <c r="D9" s="37">
        <f>SUM('Test Summary Report'!$E9:$G9)</f>
        <v>15</v>
      </c>
      <c r="E9" s="37">
        <f>COUNTIFS('Test Cases'!$D:$D,'Test Summary Report'!$C9,'Test Cases'!$N:$N,'Test Summary Report'!E$8)</f>
        <v>13</v>
      </c>
      <c r="F9" s="37">
        <f>COUNTIFS('Test Cases'!$D:$D,'Test Summary Report'!$C9,'Test Cases'!$N:$N,'Test Summary Report'!F$8)</f>
        <v>2</v>
      </c>
      <c r="G9" s="37">
        <f>COUNTIFS('Test Cases'!$D:$D,'Test Summary Report'!$C9,'Test Cases'!$N:$N,'Test Summary Report'!G$8)</f>
        <v>0</v>
      </c>
      <c r="H9" s="37">
        <f>COUNTIFS('Test Cases'!$D:$D,'Test Summary Report'!$C9,'Test Cases'!$N:$N,'Test Summary Report'!H$8)</f>
        <v>0</v>
      </c>
      <c r="I9" s="37">
        <f>COUNTIFS('Test Cases'!$D:$D,'Test Summary Report'!$C9)-sum(D9,H9)</f>
        <v>0</v>
      </c>
      <c r="J9" s="38">
        <f>SUM('Test Summary Report'!$E9:$I9)</f>
        <v>15</v>
      </c>
      <c r="K9" s="39">
        <f>'Test Summary Report'!$D9/'Test Summary Report'!$J9</f>
        <v>1</v>
      </c>
    </row>
    <row r="10" ht="15.75" customHeight="1">
      <c r="A10" s="40" t="s">
        <v>176</v>
      </c>
      <c r="B10" s="41"/>
      <c r="C10" s="42" t="s">
        <v>173</v>
      </c>
      <c r="D10" s="43">
        <f t="shared" ref="D10:I10" si="1">SUM(D7:D9)</f>
        <v>15</v>
      </c>
      <c r="E10" s="43">
        <f t="shared" si="1"/>
        <v>13</v>
      </c>
      <c r="F10" s="43">
        <f t="shared" si="1"/>
        <v>2</v>
      </c>
      <c r="G10" s="43">
        <f t="shared" si="1"/>
        <v>0</v>
      </c>
      <c r="H10" s="43">
        <f t="shared" si="1"/>
        <v>0</v>
      </c>
      <c r="I10" s="43">
        <f t="shared" si="1"/>
        <v>0</v>
      </c>
      <c r="J10" s="44">
        <f>J9</f>
        <v>15</v>
      </c>
      <c r="K10" s="45">
        <f>C5</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2.25"/>
    <col customWidth="1" min="3" max="3" width="12.63"/>
    <col customWidth="1" min="4" max="4" width="60.13"/>
    <col customWidth="1" min="5" max="6" width="12.63"/>
  </cols>
  <sheetData>
    <row r="1" ht="15.75" customHeight="1">
      <c r="A1" s="46" t="s">
        <v>177</v>
      </c>
      <c r="B1" s="18"/>
      <c r="C1" s="18"/>
      <c r="D1" s="19"/>
      <c r="E1" s="5"/>
      <c r="F1" s="5"/>
      <c r="G1" s="5"/>
      <c r="H1" s="5"/>
      <c r="I1" s="5"/>
      <c r="J1" s="5"/>
      <c r="K1" s="5"/>
      <c r="L1" s="5"/>
      <c r="M1" s="5"/>
      <c r="N1" s="5"/>
      <c r="O1" s="5"/>
      <c r="P1" s="5"/>
      <c r="Q1" s="5"/>
      <c r="R1" s="5"/>
      <c r="S1" s="5"/>
      <c r="T1" s="5"/>
      <c r="U1" s="5"/>
      <c r="V1" s="5"/>
      <c r="W1" s="5"/>
      <c r="X1" s="5"/>
      <c r="Y1" s="5"/>
      <c r="Z1" s="5"/>
    </row>
    <row r="2" ht="15.75" customHeight="1">
      <c r="A2" s="47" t="s">
        <v>82</v>
      </c>
      <c r="B2" s="47" t="s">
        <v>178</v>
      </c>
      <c r="C2" s="47" t="s">
        <v>14</v>
      </c>
      <c r="D2" s="47" t="s">
        <v>179</v>
      </c>
      <c r="E2" s="5"/>
      <c r="F2" s="5"/>
      <c r="G2" s="5"/>
      <c r="H2" s="5"/>
      <c r="I2" s="5"/>
      <c r="J2" s="5"/>
      <c r="K2" s="5"/>
      <c r="L2" s="5"/>
      <c r="M2" s="5"/>
      <c r="N2" s="5"/>
      <c r="O2" s="5"/>
      <c r="P2" s="5"/>
      <c r="Q2" s="5"/>
      <c r="R2" s="5"/>
      <c r="S2" s="5"/>
      <c r="T2" s="5"/>
      <c r="U2" s="5"/>
      <c r="V2" s="5"/>
      <c r="W2" s="5"/>
      <c r="X2" s="5"/>
      <c r="Y2" s="5"/>
      <c r="Z2" s="5"/>
    </row>
    <row r="3" ht="15.75" customHeight="1">
      <c r="A3" s="48" t="s">
        <v>19</v>
      </c>
      <c r="B3" s="48" t="s">
        <v>180</v>
      </c>
      <c r="C3" s="48" t="s">
        <v>181</v>
      </c>
      <c r="D3" s="49" t="s">
        <v>182</v>
      </c>
      <c r="E3" s="5"/>
      <c r="F3" s="5"/>
      <c r="G3" s="5"/>
      <c r="H3" s="5"/>
      <c r="I3" s="5"/>
      <c r="J3" s="5"/>
      <c r="K3" s="5"/>
      <c r="L3" s="5"/>
      <c r="M3" s="5"/>
      <c r="N3" s="5"/>
      <c r="O3" s="5"/>
      <c r="P3" s="5"/>
      <c r="Q3" s="5"/>
      <c r="R3" s="5"/>
      <c r="S3" s="5"/>
      <c r="T3" s="5"/>
      <c r="U3" s="5"/>
      <c r="V3" s="5"/>
      <c r="W3" s="5"/>
      <c r="X3" s="5"/>
      <c r="Y3" s="5"/>
      <c r="Z3" s="5"/>
    </row>
    <row r="4" ht="15.75" customHeight="1">
      <c r="A4" s="48" t="s">
        <v>36</v>
      </c>
      <c r="B4" s="48" t="s">
        <v>183</v>
      </c>
      <c r="C4" s="48" t="s">
        <v>181</v>
      </c>
      <c r="D4" s="48" t="s">
        <v>184</v>
      </c>
      <c r="E4" s="5"/>
      <c r="F4" s="5"/>
      <c r="G4" s="5"/>
      <c r="H4" s="5"/>
      <c r="I4" s="5"/>
      <c r="J4" s="5"/>
      <c r="K4" s="5"/>
      <c r="L4" s="5"/>
      <c r="M4" s="5"/>
      <c r="N4" s="5"/>
      <c r="O4" s="5"/>
      <c r="P4" s="5"/>
      <c r="Q4" s="5"/>
      <c r="R4" s="5"/>
      <c r="S4" s="5"/>
      <c r="T4" s="5"/>
      <c r="U4" s="5"/>
      <c r="V4" s="5"/>
      <c r="W4" s="5"/>
      <c r="X4" s="5"/>
      <c r="Y4" s="5"/>
      <c r="Z4" s="5"/>
    </row>
    <row r="5" ht="15.75" customHeight="1">
      <c r="A5" s="48" t="s">
        <v>43</v>
      </c>
      <c r="B5" s="48" t="s">
        <v>185</v>
      </c>
      <c r="C5" s="48" t="s">
        <v>181</v>
      </c>
      <c r="D5" s="48" t="s">
        <v>186</v>
      </c>
      <c r="E5" s="5"/>
      <c r="F5" s="5"/>
      <c r="G5" s="5"/>
      <c r="H5" s="5"/>
      <c r="I5" s="5"/>
      <c r="J5" s="5"/>
      <c r="K5" s="5"/>
      <c r="L5" s="5"/>
      <c r="M5" s="5"/>
      <c r="N5" s="5"/>
      <c r="O5" s="5"/>
      <c r="P5" s="5"/>
      <c r="Q5" s="5"/>
      <c r="R5" s="5"/>
      <c r="S5" s="5"/>
      <c r="T5" s="5"/>
      <c r="U5" s="5"/>
      <c r="V5" s="5"/>
      <c r="W5" s="5"/>
      <c r="X5" s="5"/>
      <c r="Y5" s="5"/>
      <c r="Z5" s="5"/>
    </row>
    <row r="6" ht="15.75" customHeight="1">
      <c r="A6" s="48" t="s">
        <v>51</v>
      </c>
      <c r="B6" s="48" t="s">
        <v>187</v>
      </c>
      <c r="C6" s="48" t="s">
        <v>181</v>
      </c>
      <c r="D6" s="48" t="s">
        <v>188</v>
      </c>
      <c r="E6" s="5"/>
      <c r="F6" s="5"/>
      <c r="G6" s="5"/>
      <c r="H6" s="5"/>
      <c r="I6" s="5"/>
      <c r="J6" s="5"/>
      <c r="K6" s="5"/>
      <c r="L6" s="5"/>
      <c r="M6" s="5"/>
      <c r="N6" s="5"/>
      <c r="O6" s="5"/>
      <c r="P6" s="5"/>
      <c r="Q6" s="5"/>
      <c r="R6" s="5"/>
      <c r="S6" s="5"/>
      <c r="T6" s="5"/>
      <c r="U6" s="5"/>
      <c r="V6" s="5"/>
      <c r="W6" s="5"/>
      <c r="X6" s="5"/>
      <c r="Y6" s="5"/>
      <c r="Z6" s="5"/>
    </row>
    <row r="7" ht="15.75" customHeight="1">
      <c r="A7" s="48" t="s">
        <v>59</v>
      </c>
      <c r="B7" s="48" t="s">
        <v>189</v>
      </c>
      <c r="C7" s="48" t="s">
        <v>181</v>
      </c>
      <c r="D7" s="48" t="s">
        <v>190</v>
      </c>
      <c r="E7" s="5"/>
      <c r="F7" s="5"/>
      <c r="G7" s="5"/>
      <c r="H7" s="5"/>
      <c r="I7" s="5"/>
      <c r="J7" s="5"/>
      <c r="K7" s="5"/>
      <c r="L7" s="5"/>
      <c r="M7" s="5"/>
      <c r="N7" s="5"/>
      <c r="O7" s="5"/>
      <c r="P7" s="5"/>
      <c r="Q7" s="5"/>
      <c r="R7" s="5"/>
      <c r="S7" s="5"/>
      <c r="T7" s="5"/>
      <c r="U7" s="5"/>
      <c r="V7" s="5"/>
      <c r="W7" s="5"/>
      <c r="X7" s="5"/>
      <c r="Y7" s="5"/>
      <c r="Z7" s="5"/>
    </row>
    <row r="8" ht="15.75" customHeight="1">
      <c r="A8" s="48" t="s">
        <v>67</v>
      </c>
      <c r="B8" s="48" t="s">
        <v>191</v>
      </c>
      <c r="C8" s="48" t="s">
        <v>181</v>
      </c>
      <c r="D8" s="48" t="s">
        <v>192</v>
      </c>
      <c r="E8" s="5"/>
      <c r="F8" s="5"/>
      <c r="G8" s="5"/>
      <c r="H8" s="5"/>
      <c r="I8" s="5"/>
      <c r="J8" s="5"/>
      <c r="K8" s="5"/>
      <c r="L8" s="5"/>
      <c r="M8" s="5"/>
      <c r="N8" s="5"/>
      <c r="O8" s="5"/>
      <c r="P8" s="5"/>
      <c r="Q8" s="5"/>
      <c r="R8" s="5"/>
      <c r="S8" s="5"/>
      <c r="T8" s="5"/>
      <c r="U8" s="5"/>
      <c r="V8" s="5"/>
      <c r="W8" s="5"/>
      <c r="X8" s="5"/>
      <c r="Y8" s="5"/>
      <c r="Z8" s="5"/>
    </row>
    <row r="9" ht="15.75" customHeight="1">
      <c r="A9" s="48" t="s">
        <v>74</v>
      </c>
      <c r="B9" s="48" t="s">
        <v>193</v>
      </c>
      <c r="C9" s="48" t="s">
        <v>181</v>
      </c>
      <c r="D9" s="49" t="s">
        <v>194</v>
      </c>
      <c r="E9" s="5"/>
      <c r="F9" s="5"/>
      <c r="G9" s="5"/>
      <c r="H9" s="5"/>
      <c r="I9" s="5"/>
      <c r="J9" s="5"/>
      <c r="K9" s="5"/>
      <c r="L9" s="5"/>
      <c r="M9" s="5"/>
      <c r="N9" s="5"/>
      <c r="O9" s="5"/>
      <c r="P9" s="5"/>
      <c r="Q9" s="5"/>
      <c r="R9" s="5"/>
      <c r="S9" s="5"/>
      <c r="T9" s="5"/>
      <c r="U9" s="5"/>
      <c r="V9" s="5"/>
      <c r="W9" s="5"/>
      <c r="X9" s="5"/>
      <c r="Y9" s="5"/>
      <c r="Z9" s="5"/>
    </row>
    <row r="10" ht="15.75" customHeight="1">
      <c r="A10" s="48" t="s">
        <v>87</v>
      </c>
      <c r="B10" s="48" t="s">
        <v>195</v>
      </c>
      <c r="C10" s="48" t="s">
        <v>181</v>
      </c>
      <c r="D10" s="48" t="s">
        <v>196</v>
      </c>
      <c r="E10" s="5"/>
      <c r="F10" s="5"/>
      <c r="G10" s="5"/>
      <c r="H10" s="5"/>
      <c r="I10" s="5"/>
      <c r="J10" s="5"/>
      <c r="K10" s="5"/>
      <c r="L10" s="5"/>
      <c r="M10" s="5"/>
      <c r="N10" s="5"/>
      <c r="O10" s="5"/>
      <c r="P10" s="5"/>
      <c r="Q10" s="5"/>
      <c r="R10" s="5"/>
      <c r="S10" s="5"/>
      <c r="T10" s="5"/>
      <c r="U10" s="5"/>
      <c r="V10" s="5"/>
      <c r="W10" s="5"/>
      <c r="X10" s="5"/>
      <c r="Y10" s="5"/>
      <c r="Z10" s="5"/>
    </row>
    <row r="11" ht="15.75" customHeight="1">
      <c r="A11" s="48" t="s">
        <v>96</v>
      </c>
      <c r="B11" s="48" t="s">
        <v>197</v>
      </c>
      <c r="C11" s="48" t="s">
        <v>181</v>
      </c>
      <c r="D11" s="48" t="s">
        <v>198</v>
      </c>
      <c r="E11" s="5"/>
      <c r="F11" s="5"/>
      <c r="G11" s="5"/>
      <c r="H11" s="5"/>
      <c r="I11" s="5"/>
      <c r="J11" s="5"/>
      <c r="K11" s="5"/>
      <c r="L11" s="5"/>
      <c r="M11" s="5"/>
      <c r="N11" s="5"/>
      <c r="O11" s="5"/>
      <c r="P11" s="5"/>
      <c r="Q11" s="5"/>
      <c r="R11" s="5"/>
      <c r="S11" s="5"/>
      <c r="T11" s="5"/>
      <c r="U11" s="5"/>
      <c r="V11" s="5"/>
      <c r="W11" s="5"/>
      <c r="X11" s="5"/>
      <c r="Y11" s="5"/>
      <c r="Z11" s="5"/>
    </row>
    <row r="12" ht="15.75" customHeight="1">
      <c r="A12" s="48" t="s">
        <v>105</v>
      </c>
      <c r="B12" s="48" t="s">
        <v>199</v>
      </c>
      <c r="C12" s="48" t="s">
        <v>181</v>
      </c>
      <c r="D12" s="48" t="s">
        <v>200</v>
      </c>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D1"/>
  </mergeCells>
  <drawing r:id="rId1"/>
</worksheet>
</file>